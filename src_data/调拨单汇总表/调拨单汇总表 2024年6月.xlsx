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activeX/activeX1.bin" ContentType="application/vnd.ms-office.activeX"/>
  <Override PartName="/xl/activeX/activeX1.xml" ContentType="application/vnd.ms-office.activeX+xml"/>
  <Override PartName="/xl/cellimages.xml" ContentType="application/vnd.wps-officedocument.cellimag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调拨单汇总表" sheetId="5" r:id="rId1"/>
    <sheet name="询价详情记录总" sheetId="15" r:id="rId2"/>
    <sheet name="FBA地址记录" sheetId="10" r:id="rId3"/>
    <sheet name="每周更新" sheetId="17" r:id="rId4"/>
    <sheet name="下拉列表" sheetId="16" r:id="rId5"/>
    <sheet name="物流渠道信息汇总" sheetId="40" r:id="rId6"/>
    <sheet name="WpsReserved_CellImgList" sheetId="11" state="veryHidden" r:id="rId7"/>
  </sheets>
  <definedNames>
    <definedName name="_xlnm._FilterDatabase" localSheetId="1" hidden="1">询价详情记录总!$A$1:$W$2</definedName>
    <definedName name="_xlnm._FilterDatabase" localSheetId="2" hidden="1">FBA地址记录!$A$1:$E$67</definedName>
    <definedName name="_xlnm._FilterDatabase" localSheetId="5" hidden="1">物流渠道信息汇总!$A$1:$I$125</definedName>
    <definedName name="_xlnm._FilterDatabase" localSheetId="0" hidden="1">调拨单汇总表!$A$1:$BD$3</definedName>
    <definedName name="_xlnm._FilterDatabase" localSheetId="4" hidden="1">下拉列表!$A$1:$N$76</definedName>
    <definedName name="WebWps_Link_1" hidden="1">调拨单汇总表!#REF!</definedName>
  </definedNames>
  <calcPr calcId="191029"/>
  <pivotCaches>
    <pivotCache cacheId="0" r:id="rId1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692C50B4E46442008EF80AB648A9034E" descr="upload_post_object_v2_3307783998"/>
        <xdr:cNvPicPr/>
      </xdr:nvPicPr>
      <xdr:blipFill>
        <a:blip r:embed="rId1"/>
        <a:stretch>
          <a:fillRect/>
        </a:stretch>
      </xdr:blipFill>
      <xdr:spPr>
        <a:xfrm>
          <a:off x="0" y="0"/>
          <a:ext cx="5478145" cy="3471545"/>
        </a:xfrm>
        <a:prstGeom prst="rect">
          <a:avLst/>
        </a:prstGeom>
      </xdr:spPr>
    </xdr:pic>
  </etc:cellImage>
  <etc:cellImage>
    <xdr:pic>
      <xdr:nvPicPr>
        <xdr:cNvPr id="3" name="ID_8EFBFD5AA2714E2EBDD28742C52E64E7" descr="upload_post_object_v2_3816664742"/>
        <xdr:cNvPicPr/>
      </xdr:nvPicPr>
      <xdr:blipFill>
        <a:blip r:embed="rId1"/>
        <a:stretch>
          <a:fillRect/>
        </a:stretch>
      </xdr:blipFill>
      <xdr:spPr>
        <a:xfrm>
          <a:off x="0" y="0"/>
          <a:ext cx="5478145" cy="3471545"/>
        </a:xfrm>
        <a:prstGeom prst="rect">
          <a:avLst/>
        </a:prstGeom>
      </xdr:spPr>
    </xdr:pic>
  </etc:cellImage>
  <etc:cellImage>
    <xdr:pic>
      <xdr:nvPicPr>
        <xdr:cNvPr id="4" name="ID_E93BAD842192408F9772E39790901A56" descr="upload_post_object_v2_2929923712"/>
        <xdr:cNvPicPr/>
      </xdr:nvPicPr>
      <xdr:blipFill>
        <a:blip r:embed="rId2"/>
        <a:stretch>
          <a:fillRect/>
        </a:stretch>
      </xdr:blipFill>
      <xdr:spPr>
        <a:xfrm>
          <a:off x="0" y="0"/>
          <a:ext cx="6307455" cy="3259455"/>
        </a:xfrm>
        <a:prstGeom prst="rect">
          <a:avLst/>
        </a:prstGeom>
      </xdr:spPr>
    </xdr:pic>
  </etc:cellImage>
  <etc:cellImage>
    <xdr:pic>
      <xdr:nvPicPr>
        <xdr:cNvPr id="5" name="ID_DB9D8FBEF2BE445EA9E87677451C23FF" descr="upload_post_object_v2_486633667"/>
        <xdr:cNvPicPr/>
      </xdr:nvPicPr>
      <xdr:blipFill>
        <a:blip r:embed="rId2"/>
        <a:stretch>
          <a:fillRect/>
        </a:stretch>
      </xdr:blipFill>
      <xdr:spPr>
        <a:xfrm>
          <a:off x="0" y="0"/>
          <a:ext cx="6307455" cy="3259455"/>
        </a:xfrm>
        <a:prstGeom prst="rect">
          <a:avLst/>
        </a:prstGeom>
      </xdr:spPr>
    </xdr:pic>
  </etc:cellImage>
  <etc:cellImage>
    <xdr:pic>
      <xdr:nvPicPr>
        <xdr:cNvPr id="7" name="ID_C70CC3B3F41341FE9648A6B1D8F827F8" descr="upload_post_object_v2_847293881"/>
        <xdr:cNvPicPr/>
      </xdr:nvPicPr>
      <xdr:blipFill>
        <a:blip r:embed="rId3"/>
        <a:stretch>
          <a:fillRect/>
        </a:stretch>
      </xdr:blipFill>
      <xdr:spPr>
        <a:xfrm>
          <a:off x="0" y="0"/>
          <a:ext cx="6273800" cy="2895600"/>
        </a:xfrm>
        <a:prstGeom prst="rect">
          <a:avLst/>
        </a:prstGeom>
      </xdr:spPr>
    </xdr:pic>
  </etc:cellImage>
</etc:cellImages>
</file>

<file path=xl/comments1.xml><?xml version="1.0" encoding="utf-8"?>
<comments xmlns="http://schemas.openxmlformats.org/spreadsheetml/2006/main">
  <authors>
    <author>Unknown User</author>
  </authors>
  <commentList>
    <comment ref="Y2" authorId="0">
      <text>
        <r>
          <rPr>
            <b/>
            <sz val="9"/>
            <rFont val="宋体"/>
            <charset val="134"/>
          </rPr>
          <t>王丹丹:</t>
        </r>
        <r>
          <rPr>
            <sz val="9"/>
            <rFont val="宋体"/>
            <charset val="134"/>
          </rPr>
          <t xml:space="preserve">
需要修改为客服返回来的实际计费重
</t>
        </r>
      </text>
    </comment>
    <comment ref="AB2" authorId="0">
      <text>
        <r>
          <rPr>
            <b/>
            <sz val="9"/>
            <rFont val="宋体"/>
            <charset val="134"/>
          </rPr>
          <t>王丹丹:</t>
        </r>
        <r>
          <rPr>
            <sz val="9"/>
            <rFont val="宋体"/>
            <charset val="134"/>
          </rPr>
          <t xml:space="preserve">
德速、速十按价表，无优惠，无需优惠备注
</t>
        </r>
      </text>
    </comment>
    <comment ref="AE2" authorId="0">
      <text>
        <r>
          <rPr>
            <b/>
            <sz val="9"/>
            <rFont val="宋体"/>
            <charset val="134"/>
          </rPr>
          <t>批注:</t>
        </r>
        <r>
          <rPr>
            <sz val="9"/>
            <rFont val="宋体"/>
            <charset val="134"/>
          </rPr>
          <t xml:space="preserve">
王丹丹:
若是询价货件，则询价执行人填写；
</t>
        </r>
        <r>
          <rPr>
            <b/>
            <sz val="9"/>
            <rFont val="宋体"/>
            <charset val="134"/>
          </rPr>
          <t xml:space="preserve">
王丹丹:</t>
        </r>
        <r>
          <rPr>
            <sz val="9"/>
            <rFont val="宋体"/>
            <charset val="134"/>
          </rPr>
          <t xml:space="preserve">
美通价卡名称：U53--美国特快海派；物流发票下单名称：U5特快专线-U53</t>
        </r>
        <r>
          <rPr>
            <b/>
            <sz val="9"/>
            <rFont val="宋体"/>
            <charset val="134"/>
          </rPr>
          <t xml:space="preserve">
王丹丹:</t>
        </r>
        <r>
          <rPr>
            <sz val="9"/>
            <rFont val="宋体"/>
            <charset val="134"/>
          </rPr>
          <t xml:space="preserve">
美通价卡名称：U42--纽约专线包税（卡派）；物流发票下单名称：U4纽约专线-U42
</t>
        </r>
      </text>
    </comment>
    <comment ref="AF2" authorId="0">
      <text>
        <r>
          <rPr>
            <b/>
            <sz val="9"/>
            <rFont val="宋体"/>
            <charset val="134"/>
          </rPr>
          <t>批注:</t>
        </r>
        <r>
          <rPr>
            <sz val="9"/>
            <rFont val="宋体"/>
            <charset val="134"/>
          </rPr>
          <t xml:space="preserve">
王丹丹:
询价货件，系统下单后需要马上填写
</t>
        </r>
      </text>
    </comment>
    <comment ref="AJ2" authorId="0">
      <text>
        <r>
          <rPr>
            <b/>
            <sz val="9"/>
            <rFont val="宋体"/>
            <charset val="134"/>
          </rPr>
          <t>批注:</t>
        </r>
        <r>
          <rPr>
            <sz val="9"/>
            <rFont val="宋体"/>
            <charset val="134"/>
          </rPr>
          <t xml:space="preserve">
王丹丹:
可用公式抓取基础格式；但清关费/关税/报关费等需要自行修改补充
</t>
        </r>
      </text>
    </comment>
  </commentList>
</comments>
</file>

<file path=xl/comments2.xml><?xml version="1.0" encoding="utf-8"?>
<comments xmlns="http://schemas.openxmlformats.org/spreadsheetml/2006/main">
  <authors>
    <author>Unknown User</author>
  </authors>
  <commentList>
    <comment ref="H1" authorId="0">
      <text>
        <r>
          <rPr>
            <b/>
            <sz val="9"/>
            <rFont val="宋体"/>
            <charset val="134"/>
          </rPr>
          <t>王丹丹:</t>
        </r>
        <r>
          <rPr>
            <sz val="9"/>
            <rFont val="宋体"/>
            <charset val="134"/>
          </rPr>
          <t xml:space="preserve">
相同店铺做一张单即可合并计费，且无需与经理沟通备注
</t>
        </r>
      </text>
    </comment>
  </commentList>
</comments>
</file>

<file path=xl/sharedStrings.xml><?xml version="1.0" encoding="utf-8"?>
<sst xmlns="http://schemas.openxmlformats.org/spreadsheetml/2006/main" count="951" uniqueCount="469">
  <si>
    <t>货件信息</t>
  </si>
  <si>
    <t>询价记录</t>
  </si>
  <si>
    <t>物流信息</t>
  </si>
  <si>
    <t>积加录入</t>
  </si>
  <si>
    <t>辅助</t>
  </si>
  <si>
    <t>货件跟踪</t>
  </si>
  <si>
    <t>货件跟踪详情</t>
  </si>
  <si>
    <t>调拨需求名称</t>
  </si>
  <si>
    <t>货件名称 或 箱唛名称</t>
  </si>
  <si>
    <t>站点</t>
  </si>
  <si>
    <t>调出仓库</t>
  </si>
  <si>
    <t>调入仓库</t>
  </si>
  <si>
    <t>货运方式</t>
  </si>
  <si>
    <t>发货数量</t>
  </si>
  <si>
    <t>箱数</t>
  </si>
  <si>
    <t>货件编号</t>
  </si>
  <si>
    <t>配送地址（仓库）</t>
  </si>
  <si>
    <t>仓库邮编</t>
  </si>
  <si>
    <t>询价需求发起人</t>
  </si>
  <si>
    <t>提货状态</t>
  </si>
  <si>
    <t>实重</t>
  </si>
  <si>
    <t>泡重</t>
  </si>
  <si>
    <t>立方</t>
  </si>
  <si>
    <t>艾特询价执行人</t>
  </si>
  <si>
    <t>询价状态
询价需求人填写</t>
  </si>
  <si>
    <t>询价日期
询价执行人填写</t>
  </si>
  <si>
    <t>通知制单人
询价执行人填写</t>
  </si>
  <si>
    <t>注意事项
询价需求人、询价执行人填写</t>
  </si>
  <si>
    <t>询价前单价</t>
  </si>
  <si>
    <t>询价后单价</t>
  </si>
  <si>
    <t>单价减免</t>
  </si>
  <si>
    <t>预估计费重</t>
  </si>
  <si>
    <t>总价减免</t>
  </si>
  <si>
    <t>提货信息</t>
  </si>
  <si>
    <t>是否发给经理优惠备注</t>
  </si>
  <si>
    <t>实际出库日期</t>
  </si>
  <si>
    <t>物流商</t>
  </si>
  <si>
    <t>物流方式（名称同物流价卡）</t>
  </si>
  <si>
    <t>物流追踪号</t>
  </si>
  <si>
    <t>预计送达日期</t>
  </si>
  <si>
    <t>物流方式（名称同积加）</t>
  </si>
  <si>
    <t>预估费用</t>
  </si>
  <si>
    <t>备注（预估费用明细）</t>
  </si>
  <si>
    <t>录入情况</t>
  </si>
  <si>
    <t>制单文件</t>
  </si>
  <si>
    <t>登记地址</t>
  </si>
  <si>
    <t>实际签收时间</t>
  </si>
  <si>
    <t>时效(天)</t>
  </si>
  <si>
    <t>后台货件状态</t>
  </si>
  <si>
    <t>接收数量</t>
  </si>
  <si>
    <t>接收差异</t>
  </si>
  <si>
    <t>索赔进度</t>
  </si>
  <si>
    <t>离港时间</t>
  </si>
  <si>
    <t>到港时间</t>
  </si>
  <si>
    <t>到仓时间</t>
  </si>
  <si>
    <t>转运时间</t>
  </si>
  <si>
    <t>签收时间</t>
  </si>
  <si>
    <t>查验时间</t>
  </si>
  <si>
    <t>查验放行时间</t>
  </si>
  <si>
    <t>POD</t>
  </si>
  <si>
    <t>异常处理记录</t>
  </si>
  <si>
    <t>询价日期</t>
  </si>
  <si>
    <t>仓库</t>
  </si>
  <si>
    <t>邮编</t>
  </si>
  <si>
    <t>是否偏远仓</t>
  </si>
  <si>
    <t>时效</t>
  </si>
  <si>
    <t>备注</t>
  </si>
  <si>
    <t>询价格式</t>
  </si>
  <si>
    <t>截图（方便后续对账）</t>
  </si>
  <si>
    <t>询价前总价</t>
  </si>
  <si>
    <t>询价后总价</t>
  </si>
  <si>
    <t>US</t>
  </si>
  <si>
    <t>海运</t>
  </si>
  <si>
    <t>IND9</t>
  </si>
  <si>
    <t>否</t>
  </si>
  <si>
    <t>德速</t>
  </si>
  <si>
    <t>美森限时达-正班</t>
  </si>
  <si>
    <t>不够150kg+2/kg</t>
  </si>
  <si>
    <t>IND9：7箱-132KG-0.65方</t>
  </si>
  <si>
    <t>收货地址</t>
  </si>
  <si>
    <t>偏远情况</t>
  </si>
  <si>
    <t>是否偏远仓查询网址：https://ziplucas.com/</t>
  </si>
  <si>
    <t>ABE3</t>
  </si>
  <si>
    <t>18031-1536</t>
  </si>
  <si>
    <t>ABE8</t>
  </si>
  <si>
    <t>08518-2200</t>
  </si>
  <si>
    <t>AVP1</t>
  </si>
  <si>
    <t>18202-9361</t>
  </si>
  <si>
    <t>CAE1</t>
  </si>
  <si>
    <t>CLT2</t>
  </si>
  <si>
    <t>28214-8082</t>
  </si>
  <si>
    <t>FTW1</t>
  </si>
  <si>
    <t>75241-7203</t>
  </si>
  <si>
    <t>FTW3</t>
  </si>
  <si>
    <t>76177-2517</t>
  </si>
  <si>
    <t>FTW9</t>
  </si>
  <si>
    <t>75019-3989</t>
  </si>
  <si>
    <t>FWA4</t>
  </si>
  <si>
    <t>46809-9771</t>
  </si>
  <si>
    <t>GYR2</t>
  </si>
  <si>
    <t>85395-7672</t>
  </si>
  <si>
    <t>GYR3</t>
  </si>
  <si>
    <t>85043-2356</t>
  </si>
  <si>
    <t>IND4</t>
  </si>
  <si>
    <t>UPS偏远</t>
  </si>
  <si>
    <t>46231-1132</t>
  </si>
  <si>
    <t>LAS1</t>
  </si>
  <si>
    <t>UPS/FEDEX偏远</t>
  </si>
  <si>
    <t>LAX9</t>
  </si>
  <si>
    <t>92337-7441</t>
  </si>
  <si>
    <t>MDT2</t>
  </si>
  <si>
    <t>21901-2914</t>
  </si>
  <si>
    <t>MDW2</t>
  </si>
  <si>
    <t>60433-3280</t>
  </si>
  <si>
    <t>MEM1</t>
  </si>
  <si>
    <t>MGE1</t>
  </si>
  <si>
    <t>30517-3002</t>
  </si>
  <si>
    <t>MQJ1</t>
  </si>
  <si>
    <t>ONT2</t>
  </si>
  <si>
    <t>92408-0123</t>
  </si>
  <si>
    <t>ONT8</t>
  </si>
  <si>
    <t>92551-9534</t>
  </si>
  <si>
    <t>ORF2</t>
  </si>
  <si>
    <t>23321-1425</t>
  </si>
  <si>
    <t>SCK4</t>
  </si>
  <si>
    <t>SDF8</t>
  </si>
  <si>
    <t>SMF3</t>
  </si>
  <si>
    <t>95206-8202</t>
  </si>
  <si>
    <t>TEB9</t>
  </si>
  <si>
    <t>08873</t>
  </si>
  <si>
    <t>WRO5</t>
  </si>
  <si>
    <t>06126</t>
  </si>
  <si>
    <t>YYZ7</t>
  </si>
  <si>
    <t>L7E 4L8</t>
  </si>
  <si>
    <t>YYC1</t>
  </si>
  <si>
    <t>T4A 1C6</t>
  </si>
  <si>
    <t>YEG2</t>
  </si>
  <si>
    <t>T7X 2X2</t>
  </si>
  <si>
    <t>YVR4</t>
  </si>
  <si>
    <t>V4M 0B9</t>
  </si>
  <si>
    <t>HAJ1</t>
  </si>
  <si>
    <t>BHX4</t>
  </si>
  <si>
    <t>CV5 9PF</t>
  </si>
  <si>
    <t>DTM2</t>
  </si>
  <si>
    <t>SWF2</t>
  </si>
  <si>
    <t>12533-6159</t>
  </si>
  <si>
    <t>TY02</t>
  </si>
  <si>
    <t>346-8511</t>
  </si>
  <si>
    <t>NRT5</t>
  </si>
  <si>
    <t>350-1182</t>
  </si>
  <si>
    <t>FSZ1</t>
  </si>
  <si>
    <t>250-8560</t>
  </si>
  <si>
    <t>KIX4</t>
  </si>
  <si>
    <t>583-8533</t>
  </si>
  <si>
    <t>KIX5</t>
  </si>
  <si>
    <t>610-0397</t>
  </si>
  <si>
    <t>KIX6</t>
  </si>
  <si>
    <t>660-8582</t>
  </si>
  <si>
    <t>KIX3</t>
  </si>
  <si>
    <t>567-8507</t>
  </si>
  <si>
    <t>NRT1</t>
  </si>
  <si>
    <t>272-0193</t>
  </si>
  <si>
    <t>YOW3</t>
  </si>
  <si>
    <t>K2J 7C7</t>
  </si>
  <si>
    <t>YYZ4</t>
  </si>
  <si>
    <t>L5Y 0C9</t>
  </si>
  <si>
    <t>QCB3</t>
  </si>
  <si>
    <t>350-1383</t>
  </si>
  <si>
    <t>YHM1</t>
  </si>
  <si>
    <t>L0R 1W1</t>
  </si>
  <si>
    <t>DAL2</t>
  </si>
  <si>
    <t>元坤海外仓-美东1仓</t>
  </si>
  <si>
    <t>SCK8</t>
  </si>
  <si>
    <t>94561-2677</t>
  </si>
  <si>
    <t>QCB1</t>
  </si>
  <si>
    <t>270-0196</t>
  </si>
  <si>
    <t>IAH3</t>
  </si>
  <si>
    <t>MHG9</t>
  </si>
  <si>
    <t>LBA4</t>
  </si>
  <si>
    <t>DN11 0GU</t>
  </si>
  <si>
    <t>ONT6</t>
  </si>
  <si>
    <t>RFD2</t>
  </si>
  <si>
    <t>YVR2</t>
  </si>
  <si>
    <t>V3M 5Y9</t>
  </si>
  <si>
    <t>RDU2</t>
  </si>
  <si>
    <t>LGB8</t>
  </si>
  <si>
    <t>92376-8624</t>
  </si>
  <si>
    <t>VGT2</t>
  </si>
  <si>
    <t>89115-2013</t>
  </si>
  <si>
    <t>SBD1</t>
  </si>
  <si>
    <t>92316-3819</t>
  </si>
  <si>
    <t>RMN3</t>
  </si>
  <si>
    <t>YXU1</t>
  </si>
  <si>
    <t>N5P 0G9</t>
  </si>
  <si>
    <t>BNA3</t>
  </si>
  <si>
    <t>37127-7792</t>
  </si>
  <si>
    <t>AFW1</t>
  </si>
  <si>
    <t>(全部)</t>
  </si>
  <si>
    <t>求和项:箱数</t>
  </si>
  <si>
    <t>求和项:实重</t>
  </si>
  <si>
    <t>求和项:泡重</t>
  </si>
  <si>
    <t>求和项:立方</t>
  </si>
  <si>
    <t>(空白)</t>
  </si>
  <si>
    <t>总计</t>
  </si>
  <si>
    <t>询价之前 
筛选 未提货未询价部分的【注意事项】，
查看是否有需要注意的
如：指定发xxx渠道/发xxx货代等</t>
  </si>
  <si>
    <t>空运渠道，若有分泡，且泡重&gt;实重，则计费重=实重*50%+泡重*50%
空运渠道有分泡如下：
美通：美国、欧洲、英国
速十：美国
原飞航：美国</t>
  </si>
  <si>
    <t>DE</t>
  </si>
  <si>
    <t>空运</t>
  </si>
  <si>
    <t>美通</t>
  </si>
  <si>
    <t>欧洲空派A-VAT</t>
  </si>
  <si>
    <t>6-10个自然日提取</t>
  </si>
  <si>
    <t>UK</t>
  </si>
  <si>
    <t>英国空派G-VAT递延</t>
  </si>
  <si>
    <t>7-10个自然日提取，DPD派送1-2个工作日</t>
  </si>
  <si>
    <t>九方</t>
  </si>
  <si>
    <t>美国空派普货包税(快递派)</t>
  </si>
  <si>
    <t>CA</t>
  </si>
  <si>
    <t>加拿大空派-C1</t>
  </si>
  <si>
    <t>加拿大空派普货快线-C1K线</t>
  </si>
  <si>
    <t>加拿大空派专线(包税) /体积除6000</t>
  </si>
  <si>
    <t>加拿大空派普货包税</t>
  </si>
  <si>
    <t>加西3区</t>
  </si>
  <si>
    <t>原飞航</t>
  </si>
  <si>
    <t>温哥华空派 CA-A-YVR01</t>
  </si>
  <si>
    <t>速十</t>
  </si>
  <si>
    <t>加拿大海空联运特快线</t>
  </si>
  <si>
    <t>水鞋-广州仓</t>
  </si>
  <si>
    <t>CIKERWEL:US_FBA</t>
  </si>
  <si>
    <t>快递</t>
  </si>
  <si>
    <t>AGL海运</t>
  </si>
  <si>
    <t>AGL物流海运</t>
  </si>
  <si>
    <t>手套-广州仓</t>
  </si>
  <si>
    <t>GLOW:US_FBA</t>
  </si>
  <si>
    <t>AGL空运</t>
  </si>
  <si>
    <t>AGL物流空运</t>
  </si>
  <si>
    <t>眼镜-广州仓</t>
  </si>
  <si>
    <t>Mr_y:US_FBA</t>
  </si>
  <si>
    <t>亚马逊自提</t>
  </si>
  <si>
    <t>FBA自提物流</t>
  </si>
  <si>
    <t>棉帽-广州仓</t>
  </si>
  <si>
    <t>RIVMOUNT:US_FBA</t>
  </si>
  <si>
    <t>卡航</t>
  </si>
  <si>
    <t>加拿大准时达 包税</t>
  </si>
  <si>
    <t>德速_加拿大海派限时达</t>
  </si>
  <si>
    <t>JP</t>
  </si>
  <si>
    <t>CA仓搜海外仓</t>
  </si>
  <si>
    <t>RIVMOUNT:CA_FBA</t>
  </si>
  <si>
    <t>加拿大海速派-美森</t>
  </si>
  <si>
    <t>德速_加拿大海速派-美森</t>
  </si>
  <si>
    <t>DE延讯海外仓</t>
  </si>
  <si>
    <t>ROUNDYAP:US_FBA</t>
  </si>
  <si>
    <t>AGL</t>
  </si>
  <si>
    <t>德速_加拿大空派专线(包税) /体积除6000</t>
  </si>
  <si>
    <t>海源</t>
  </si>
  <si>
    <t>UK延讯海外仓</t>
  </si>
  <si>
    <t>SAYOLA:US_FBA</t>
  </si>
  <si>
    <t>其他</t>
  </si>
  <si>
    <t>德速_美国海卡限时达-美森正班快船-包税</t>
  </si>
  <si>
    <t>东翔</t>
  </si>
  <si>
    <t>九方欧洲海外仓</t>
  </si>
  <si>
    <t>SAYOLA:CA_FBA</t>
  </si>
  <si>
    <t>美国海速派-美森-加班</t>
  </si>
  <si>
    <t>德速_美国海派-美森加班快船</t>
  </si>
  <si>
    <t>DHL</t>
  </si>
  <si>
    <t>元坤海外仓</t>
  </si>
  <si>
    <t>SEEKWAY:US_FBA</t>
  </si>
  <si>
    <t>美国海速派-美森-正班</t>
  </si>
  <si>
    <t>德速_美国海派-美森正班快船</t>
  </si>
  <si>
    <t>陈哥快递</t>
  </si>
  <si>
    <t>商易德海外仓</t>
  </si>
  <si>
    <t>SEEKWAY:CA_FBA</t>
  </si>
  <si>
    <t>美国空派普货促销(包税) /体积除6000-快递派</t>
  </si>
  <si>
    <t>德速_美国空派普货促销(包税) /体积除6000-快递派</t>
  </si>
  <si>
    <t>易速达海外仓</t>
  </si>
  <si>
    <t>SEEKWAY:JP_FBA</t>
  </si>
  <si>
    <t>美国空派普货快线(包税) /体积除6000-快递派</t>
  </si>
  <si>
    <t>德速_美国空派普货快线(包税) /体积除6000-快递派</t>
  </si>
  <si>
    <t>SENWAYZON:US_FBA</t>
  </si>
  <si>
    <t>欧空普货不包税EUB</t>
  </si>
  <si>
    <t>东翔_欧空快线不包税</t>
  </si>
  <si>
    <t>SENWAYZON:CA_FBA</t>
  </si>
  <si>
    <t>欧洲海运递延-HYD</t>
  </si>
  <si>
    <t>东翔_欧洲海派递延</t>
  </si>
  <si>
    <t>SENWAYZON:EU_FBA</t>
  </si>
  <si>
    <t>中欧卡航递延-KCA</t>
  </si>
  <si>
    <t>东翔_中欧卡航快线</t>
  </si>
  <si>
    <t>SENWAYZON:UK_FBA</t>
  </si>
  <si>
    <t>中英卡航不包税KCD</t>
  </si>
  <si>
    <t>东翔_中英卡航不包税KCD</t>
  </si>
  <si>
    <t>SIMARI:US_FBA</t>
  </si>
  <si>
    <t>JC快船海外贴标</t>
  </si>
  <si>
    <t>海源JC快船30%申报</t>
  </si>
  <si>
    <t>SIMARI:EU_FBA</t>
  </si>
  <si>
    <t>JP快船海外贴标</t>
  </si>
  <si>
    <t>海源JP快船25%申报</t>
  </si>
  <si>
    <t>SIMARI:UK_FBA</t>
  </si>
  <si>
    <t>东京经济快递</t>
  </si>
  <si>
    <t>海源东京经济快递</t>
  </si>
  <si>
    <t>SIMARI:JP_FBA</t>
  </si>
  <si>
    <t>飞船海转空AGL</t>
  </si>
  <si>
    <t>海源飞船海转空AGL</t>
  </si>
  <si>
    <t>WAYFINDING:US_FBA</t>
  </si>
  <si>
    <t>海转空30%包逆算</t>
  </si>
  <si>
    <t>海源海转空FBA35%包逆算</t>
  </si>
  <si>
    <t>WAYFINDING:CA_FBA</t>
  </si>
  <si>
    <t>加拿大空派普货包税（加东1区）</t>
  </si>
  <si>
    <t>九方_加拿大空派普货包税（加东1区）</t>
  </si>
  <si>
    <t>rivbos:US_FBA</t>
  </si>
  <si>
    <t>加拿大空派普货包税（加西1区）</t>
  </si>
  <si>
    <t>九方_加拿大空派普货包税（加西1区）</t>
  </si>
  <si>
    <t>rivbos:CA_FBA</t>
  </si>
  <si>
    <t>美通加拿大空派-C1</t>
  </si>
  <si>
    <t>rivbos:EU_FBA</t>
  </si>
  <si>
    <t>美国空派M1</t>
  </si>
  <si>
    <t>美通美国空派M1</t>
  </si>
  <si>
    <t>rivbos:UK_FBA</t>
  </si>
  <si>
    <t>美国空派M3</t>
  </si>
  <si>
    <t>美通美国空派M3</t>
  </si>
  <si>
    <t>rivbos:JP_FBA</t>
  </si>
  <si>
    <t>欧洲海派-U线自主VAT不包税</t>
  </si>
  <si>
    <t>美通欧洲海运U线自主VAT不包税 (DPD/UPS派送)</t>
  </si>
  <si>
    <t>欧洲空派AK线-VAT</t>
  </si>
  <si>
    <t>美通欧洲空派AK线-VAT</t>
  </si>
  <si>
    <t>美通欧洲空派A-VAT</t>
  </si>
  <si>
    <t>英国海派BHX4/LBA4专线</t>
  </si>
  <si>
    <t>美通英国海派BHX4/LBA4专线</t>
  </si>
  <si>
    <t>英国空派GK-VAT递延</t>
  </si>
  <si>
    <t>美通英国空派GK-VAT</t>
  </si>
  <si>
    <t>美通英国空派G-VAT</t>
  </si>
  <si>
    <t>GLOW:CA_FBA</t>
  </si>
  <si>
    <t>中航班车-ZK线</t>
  </si>
  <si>
    <t>美通中航班车-VAT</t>
  </si>
  <si>
    <t>中英快车DPD/UPS派</t>
  </si>
  <si>
    <t>美通中英快车DPD/UPS派</t>
  </si>
  <si>
    <t>加拿大海空联运YX线</t>
  </si>
  <si>
    <t>速十加拿大海空联运标准线</t>
  </si>
  <si>
    <t>速十加拿大海空联运特快线</t>
  </si>
  <si>
    <t>加拿大海派快线</t>
  </si>
  <si>
    <t>速十加拿大海派快线</t>
  </si>
  <si>
    <t>美森船正班船卡派</t>
  </si>
  <si>
    <t>速十美线海卡-美森正班船卡派</t>
  </si>
  <si>
    <t>美森限时达</t>
  </si>
  <si>
    <t>速十美线海派-美森限时达</t>
  </si>
  <si>
    <t>以星快船海派</t>
  </si>
  <si>
    <t>速十美线海派-以星船海派</t>
  </si>
  <si>
    <t>美线促销半泡</t>
  </si>
  <si>
    <t>速十美线空派-促销半泡</t>
  </si>
  <si>
    <t>加拿大空派</t>
  </si>
  <si>
    <t>原飞航-华南加拿大空运-温哥华空派</t>
  </si>
  <si>
    <t>美国空派大陆-包板</t>
  </si>
  <si>
    <t>原飞航-美国空派-A价/体积除6000</t>
  </si>
  <si>
    <t>U53--美国特快海派</t>
  </si>
  <si>
    <t>美通美森特快</t>
  </si>
  <si>
    <t>加拿大海空联运标准线</t>
  </si>
  <si>
    <t>U66美森正班</t>
  </si>
  <si>
    <t>美通美森快船</t>
  </si>
  <si>
    <t>欧洲海派-D1线</t>
  </si>
  <si>
    <t>美通-欧洲海派-D1线</t>
  </si>
  <si>
    <t>美国空派专线-包板</t>
  </si>
  <si>
    <t>原飞航-美国空派专线-包板</t>
  </si>
  <si>
    <t>美森正班海派</t>
  </si>
  <si>
    <t>13日限时达</t>
  </si>
  <si>
    <t>速十_美国海派渠道（含税）13日限时达</t>
  </si>
  <si>
    <t>15日限时达</t>
  </si>
  <si>
    <t>速十_美国海派渠道（含税）15日限时达</t>
  </si>
  <si>
    <t>18日限时达</t>
  </si>
  <si>
    <t>速十_美国海派渠道（含税）18日限时达</t>
  </si>
  <si>
    <t>25日限时达</t>
  </si>
  <si>
    <t>速十_美国海派渠道（含税）25日限时达</t>
  </si>
  <si>
    <t>美森准时达-加班</t>
  </si>
  <si>
    <t>德速_美国海卡准时达-美森加班快船 包税（kg）</t>
  </si>
  <si>
    <t>U52--美国特快专线--包税</t>
  </si>
  <si>
    <t>美通美森特快海卡</t>
  </si>
  <si>
    <t>华南快船FBA海派</t>
  </si>
  <si>
    <t>准时达-华南快船FBA海派</t>
  </si>
  <si>
    <t>U62--美国特快专线--包税</t>
  </si>
  <si>
    <t>美通-U62--美国特快专线--包税</t>
  </si>
  <si>
    <t>U42--纽约专线包税（卡派）</t>
  </si>
  <si>
    <t>美通-U4纽约专线-U42（卡派）</t>
  </si>
  <si>
    <t>U63--美国快船海派</t>
  </si>
  <si>
    <t>美通-U63-美国快船海派</t>
  </si>
  <si>
    <t>加拿大海运快线-美森UPS</t>
  </si>
  <si>
    <t>美通加拿大海运快线-美森UPS</t>
  </si>
  <si>
    <t>U66美森正班包税</t>
  </si>
  <si>
    <t>加拿大空派普货包税（加西3区）</t>
  </si>
  <si>
    <t>九方_加拿大空派普货包税（加西3区）</t>
  </si>
  <si>
    <t>九方_美国空派普货包税(快递派)</t>
  </si>
  <si>
    <t>美森船加班卡派</t>
  </si>
  <si>
    <t>速十美线海卡-美森加班卡派</t>
  </si>
  <si>
    <t xml:space="preserve">美国空派普货春节特惠(包税) /体积除6000-快递派 </t>
  </si>
  <si>
    <t>英国空派G线-VAT递延-卡派</t>
  </si>
  <si>
    <t>加拿大海派快线（正班）</t>
  </si>
  <si>
    <t>加东空派普货包税</t>
  </si>
  <si>
    <t>加拿大海派快线(正班)</t>
  </si>
  <si>
    <t>加拿大海派快线(加班)</t>
  </si>
  <si>
    <t>中航班车-VAT</t>
  </si>
  <si>
    <t>加东空派普货包税(快递派)</t>
  </si>
  <si>
    <t>欧洲空派A线卡派</t>
  </si>
  <si>
    <t>美国空派</t>
  </si>
  <si>
    <t>速十_美国空运-快递派(UPS/FEDEX)</t>
  </si>
  <si>
    <t>美国空运-快递派（UPS/FEDEX）</t>
  </si>
  <si>
    <t>美国空派普货专线（慢线）</t>
  </si>
  <si>
    <t>常用说法</t>
  </si>
  <si>
    <t>价卡名称</t>
  </si>
  <si>
    <t>价格优惠</t>
  </si>
  <si>
    <r>
      <rPr>
        <b/>
        <sz val="11"/>
        <color rgb="FFFF0000"/>
        <rFont val="宋体"/>
        <charset val="134"/>
      </rPr>
      <t xml:space="preserve">不同店铺 </t>
    </r>
    <r>
      <rPr>
        <b/>
        <sz val="11"/>
        <color rgb="FF000000"/>
        <rFont val="宋体"/>
        <charset val="134"/>
      </rPr>
      <t>合并计费</t>
    </r>
  </si>
  <si>
    <t>积加名称</t>
  </si>
  <si>
    <t>美国空运</t>
  </si>
  <si>
    <t>有分泡</t>
  </si>
  <si>
    <t>按价表</t>
  </si>
  <si>
    <t>不足50kg需要提货费35元；
深圳、广州以外的地址会收取提货费用，0.6/KG</t>
  </si>
  <si>
    <t>分开制单，合并计费</t>
  </si>
  <si>
    <t>已不用此渠道；有分泡</t>
  </si>
  <si>
    <r>
      <rPr>
        <sz val="11"/>
        <color rgb="FF000000"/>
        <rFont val="宋体"/>
        <charset val="134"/>
      </rPr>
      <t>无法分开主单号，</t>
    </r>
    <r>
      <rPr>
        <sz val="11"/>
        <color rgb="FFFF0000"/>
        <rFont val="宋体"/>
        <charset val="134"/>
      </rPr>
      <t>不建议合并</t>
    </r>
  </si>
  <si>
    <t>美国空派五日提专线 (快线）</t>
  </si>
  <si>
    <r>
      <rPr>
        <sz val="11"/>
        <color rgb="FFFF0000"/>
        <rFont val="宋体"/>
        <charset val="134"/>
      </rPr>
      <t>原飞航渠道名已修改；</t>
    </r>
    <r>
      <rPr>
        <sz val="11"/>
        <color rgb="FF000000"/>
        <rFont val="宋体"/>
        <charset val="134"/>
      </rPr>
      <t xml:space="preserve">
有分泡；预计提取3-4工作日</t>
    </r>
  </si>
  <si>
    <t>美国空派普货专线（ 慢线）</t>
  </si>
  <si>
    <r>
      <rPr>
        <sz val="11"/>
        <color rgb="FFFF0000"/>
        <rFont val="宋体"/>
        <charset val="134"/>
      </rPr>
      <t>原飞航渠道名已修改；</t>
    </r>
    <r>
      <rPr>
        <sz val="11"/>
        <color rgb="FF000000"/>
        <rFont val="宋体"/>
        <charset val="134"/>
      </rPr>
      <t xml:space="preserve">
有分泡；预计提取7-9工作日</t>
    </r>
  </si>
  <si>
    <t>加拿大空运</t>
  </si>
  <si>
    <t>不收纺织品附加费</t>
  </si>
  <si>
    <t>美通CA不能合并计费</t>
  </si>
  <si>
    <t>空运纺织品附加费+2</t>
  </si>
  <si>
    <t>分加东区、加西区
纺织品附加费+1，
不足50kg需要提货费35元
深圳、广州以外的地址会收取提货费用，0.6/KG</t>
  </si>
  <si>
    <t>九方_加拿大空派普货包税</t>
  </si>
  <si>
    <t>华南加拿大空运-温哥华空派</t>
  </si>
  <si>
    <t>德国空运
(比利时清关）</t>
  </si>
  <si>
    <t>针对德国仓 DTM2、WRO5、HAJ1</t>
  </si>
  <si>
    <t>德国空运
(荷兰清关）</t>
  </si>
  <si>
    <t>欧洲空派荷兰A线卡派</t>
  </si>
  <si>
    <t>欧洲空派荷兰A-VAT</t>
  </si>
  <si>
    <t>英国空运</t>
  </si>
  <si>
    <t>卡派/DPD派送</t>
  </si>
  <si>
    <t>英国仓 BHX4/LBA4，默认卡派派送，会按卡派价格</t>
  </si>
  <si>
    <t>美国美森正班船
快递派</t>
  </si>
  <si>
    <t>美通US海运不能合并计费</t>
  </si>
  <si>
    <t>合一张单，分开主单号；
需提前与经理说好</t>
  </si>
  <si>
    <r>
      <rPr>
        <sz val="11"/>
        <color rgb="FF000000"/>
        <rFont val="宋体"/>
        <charset val="134"/>
      </rPr>
      <t xml:space="preserve">美国美森正班船
</t>
    </r>
    <r>
      <rPr>
        <sz val="11"/>
        <color rgb="FFFF0000"/>
        <rFont val="宋体"/>
        <charset val="134"/>
      </rPr>
      <t>卡派</t>
    </r>
  </si>
  <si>
    <t>U5特快专线-U52</t>
  </si>
  <si>
    <t>需考虑集货时效、不足起重需收取附加费</t>
  </si>
  <si>
    <r>
      <rPr>
        <sz val="11"/>
        <color rgb="FF000000"/>
        <rFont val="宋体"/>
        <charset val="134"/>
      </rPr>
      <t>需考虑集货时效；</t>
    </r>
    <r>
      <rPr>
        <sz val="11"/>
        <color rgb="FFFF0000"/>
        <rFont val="宋体"/>
        <charset val="134"/>
      </rPr>
      <t>德速卡派不足起重不收附加费</t>
    </r>
  </si>
  <si>
    <t>美国美森加班船
快递派</t>
  </si>
  <si>
    <t>美森加班海派</t>
  </si>
  <si>
    <t>速十美线海派-美森加班海派</t>
  </si>
  <si>
    <r>
      <rPr>
        <sz val="11"/>
        <color rgb="FF000000"/>
        <rFont val="宋体"/>
        <charset val="134"/>
      </rPr>
      <t xml:space="preserve">美国美森加班船
</t>
    </r>
    <r>
      <rPr>
        <sz val="11"/>
        <color rgb="FFFF0000"/>
        <rFont val="宋体"/>
        <charset val="134"/>
      </rPr>
      <t>卡派</t>
    </r>
  </si>
  <si>
    <t>U6快线专线-U62</t>
  </si>
  <si>
    <t>加拿大海运</t>
  </si>
  <si>
    <t>加拿大海运UPS派</t>
  </si>
  <si>
    <t>UPS派</t>
  </si>
  <si>
    <t>美通加拿大海派</t>
  </si>
  <si>
    <t>加拿大准时达</t>
  </si>
  <si>
    <t>卡派</t>
  </si>
  <si>
    <t>德速_加拿大海卡准时达</t>
  </si>
  <si>
    <t>加拿大限时达（美转加）</t>
  </si>
  <si>
    <t>头程是 COSCO，末端卡派</t>
  </si>
  <si>
    <t>尾程DHL派送</t>
  </si>
  <si>
    <t>速十CA不能合并计费</t>
  </si>
  <si>
    <t>加拿大海空联运</t>
  </si>
  <si>
    <t>德国海运</t>
  </si>
  <si>
    <t>DTM2、WRO5、HAJ1仓可选；
清关费已协商为300/票</t>
  </si>
  <si>
    <t>英国海运</t>
  </si>
  <si>
    <t>英国海派
BHX4/LBA4专线</t>
  </si>
  <si>
    <t>英国海派快线
DPD</t>
  </si>
  <si>
    <t>美通英国海派快线DPD/UPS派</t>
  </si>
  <si>
    <t>德国卡航</t>
  </si>
  <si>
    <t>英国卡航</t>
  </si>
  <si>
    <t>无需询价</t>
  </si>
  <si>
    <t>按价表名字写</t>
  </si>
  <si>
    <t>日本快递</t>
  </si>
  <si>
    <t>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</si>
</sst>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yyyy&quot;年&quot;m&quot;月&quot;d&quot;日&quot;;@"/>
    <numFmt numFmtId="178" formatCode="yyyy/mm/dd;@"/>
    <numFmt numFmtId="179" formatCode="yyyy/mm/dd"/>
    <numFmt numFmtId="180" formatCode="yyyy/m/d;@"/>
  </numFmts>
  <fonts count="37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000000"/>
      <name val="宋体"/>
      <charset val="134"/>
    </font>
    <font>
      <b/>
      <sz val="11"/>
      <color rgb="FFFF0000"/>
      <name val="宋体"/>
      <charset val="134"/>
    </font>
    <font>
      <sz val="11"/>
      <color rgb="FF000000"/>
      <name val="宋体"/>
      <charset val="134"/>
    </font>
    <font>
      <sz val="11"/>
      <color rgb="FFFF0000"/>
      <name val="宋体"/>
      <charset val="134"/>
    </font>
    <font>
      <sz val="9"/>
      <color rgb="FF1D2129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name val="宋体"/>
      <charset val="134"/>
    </font>
    <font>
      <b/>
      <sz val="12"/>
      <color rgb="FFFF0000"/>
      <name val="宋体"/>
      <charset val="134"/>
    </font>
    <font>
      <sz val="12"/>
      <color rgb="FF000000"/>
      <name val="宋体"/>
      <charset val="134"/>
      <scheme val="minor"/>
    </font>
    <font>
      <sz val="10"/>
      <color rgb="FF667575"/>
      <name val="宋体"/>
      <charset val="134"/>
    </font>
    <font>
      <u/>
      <sz val="11"/>
      <color rgb="FF0000FF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auto="1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0" borderId="21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22" applyNumberFormat="0" applyFill="0" applyAlignment="0" applyProtection="0">
      <alignment vertical="center"/>
    </xf>
    <xf numFmtId="0" fontId="22" fillId="0" borderId="22" applyNumberFormat="0" applyFill="0" applyAlignment="0" applyProtection="0">
      <alignment vertical="center"/>
    </xf>
    <xf numFmtId="0" fontId="23" fillId="0" borderId="23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11" borderId="24" applyNumberFormat="0" applyAlignment="0" applyProtection="0">
      <alignment vertical="center"/>
    </xf>
    <xf numFmtId="0" fontId="25" fillId="12" borderId="25" applyNumberFormat="0" applyAlignment="0" applyProtection="0">
      <alignment vertical="center"/>
    </xf>
    <xf numFmtId="0" fontId="26" fillId="12" borderId="24" applyNumberFormat="0" applyAlignment="0" applyProtection="0">
      <alignment vertical="center"/>
    </xf>
    <xf numFmtId="0" fontId="27" fillId="13" borderId="26" applyNumberFormat="0" applyAlignment="0" applyProtection="0">
      <alignment vertical="center"/>
    </xf>
    <xf numFmtId="0" fontId="28" fillId="0" borderId="27" applyNumberFormat="0" applyFill="0" applyAlignment="0" applyProtection="0">
      <alignment vertical="center"/>
    </xf>
    <xf numFmtId="0" fontId="29" fillId="0" borderId="28" applyNumberFormat="0" applyFill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</cellStyleXfs>
  <cellXfs count="17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0" fontId="4" fillId="0" borderId="4" xfId="0" applyFont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0" fillId="0" borderId="5" xfId="0" applyBorder="1">
      <alignment vertical="center"/>
    </xf>
    <xf numFmtId="0" fontId="4" fillId="0" borderId="6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0" fillId="0" borderId="7" xfId="0" applyBorder="1">
      <alignment vertical="center"/>
    </xf>
    <xf numFmtId="0" fontId="4" fillId="0" borderId="7" xfId="0" applyFont="1" applyBorder="1">
      <alignment vertical="center"/>
    </xf>
    <xf numFmtId="0" fontId="4" fillId="0" borderId="0" xfId="0" applyFont="1" applyFill="1" applyBorder="1" applyAlignment="1">
      <alignment horizontal="left" vertical="center"/>
    </xf>
    <xf numFmtId="0" fontId="4" fillId="0" borderId="7" xfId="0" applyFont="1" applyBorder="1" applyAlignment="1">
      <alignment vertical="center" wrapText="1"/>
    </xf>
    <xf numFmtId="0" fontId="5" fillId="0" borderId="0" xfId="0" applyFont="1" applyFill="1" applyBorder="1" applyAlignment="1">
      <alignment horizontal="left" vertical="center"/>
    </xf>
    <xf numFmtId="0" fontId="5" fillId="0" borderId="0" xfId="0" applyFont="1" applyBorder="1" applyAlignment="1">
      <alignment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0" fontId="5" fillId="0" borderId="9" xfId="0" applyFont="1" applyFill="1" applyBorder="1" applyAlignment="1">
      <alignment horizontal="left" vertical="center"/>
    </xf>
    <xf numFmtId="0" fontId="5" fillId="0" borderId="9" xfId="0" applyFont="1" applyBorder="1" applyAlignment="1">
      <alignment vertical="center" wrapText="1"/>
    </xf>
    <xf numFmtId="0" fontId="4" fillId="0" borderId="10" xfId="0" applyFont="1" applyBorder="1">
      <alignment vertical="center"/>
    </xf>
    <xf numFmtId="0" fontId="0" fillId="0" borderId="10" xfId="0" applyBorder="1">
      <alignment vertical="center"/>
    </xf>
    <xf numFmtId="0" fontId="4" fillId="0" borderId="6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Fill="1" applyBorder="1" applyAlignment="1">
      <alignment horizontal="left" vertical="center" wrapText="1"/>
    </xf>
    <xf numFmtId="0" fontId="4" fillId="0" borderId="12" xfId="0" applyFont="1" applyBorder="1" applyAlignment="1">
      <alignment horizontal="center" vertical="center"/>
    </xf>
    <xf numFmtId="0" fontId="4" fillId="0" borderId="9" xfId="0" applyFont="1" applyFill="1" applyBorder="1" applyAlignment="1">
      <alignment horizontal="left" vertical="center" wrapText="1"/>
    </xf>
    <xf numFmtId="0" fontId="4" fillId="0" borderId="9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Border="1">
      <alignment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>
      <alignment vertical="center"/>
    </xf>
    <xf numFmtId="0" fontId="0" fillId="0" borderId="9" xfId="0" applyBorder="1" applyAlignment="1">
      <alignment vertical="center" wrapText="1"/>
    </xf>
    <xf numFmtId="0" fontId="0" fillId="0" borderId="3" xfId="0" applyBorder="1">
      <alignment vertical="center"/>
    </xf>
    <xf numFmtId="0" fontId="0" fillId="0" borderId="8" xfId="0" applyBorder="1">
      <alignment vertical="center"/>
    </xf>
    <xf numFmtId="0" fontId="4" fillId="0" borderId="10" xfId="0" applyFont="1" applyBorder="1" applyAlignment="1">
      <alignment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>
      <alignment vertical="center"/>
    </xf>
    <xf numFmtId="0" fontId="4" fillId="0" borderId="5" xfId="0" applyFont="1" applyBorder="1">
      <alignment vertical="center"/>
    </xf>
    <xf numFmtId="0" fontId="0" fillId="0" borderId="8" xfId="0" applyBorder="1" applyAlignment="1">
      <alignment horizontal="center" vertical="center"/>
    </xf>
    <xf numFmtId="0" fontId="4" fillId="0" borderId="0" xfId="0" applyFont="1" applyFill="1" applyBorder="1">
      <alignment vertical="center"/>
    </xf>
    <xf numFmtId="0" fontId="4" fillId="0" borderId="0" xfId="0" applyFont="1" applyFill="1" applyBorder="1" applyAlignment="1">
      <alignment vertical="center" wrapText="1"/>
    </xf>
    <xf numFmtId="0" fontId="4" fillId="0" borderId="9" xfId="0" applyFont="1" applyFill="1" applyBorder="1" applyAlignment="1">
      <alignment horizontal="left" vertical="center"/>
    </xf>
    <xf numFmtId="0" fontId="0" fillId="0" borderId="3" xfId="0" applyNumberFormat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0" fillId="0" borderId="7" xfId="0" applyBorder="1" applyAlignment="1">
      <alignment vertical="center" wrapText="1"/>
    </xf>
    <xf numFmtId="0" fontId="0" fillId="0" borderId="8" xfId="0" applyNumberFormat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0" fillId="0" borderId="3" xfId="0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9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3" xfId="0" applyFont="1" applyBorder="1" applyAlignment="1">
      <alignment vertical="center" wrapText="1"/>
    </xf>
    <xf numFmtId="0" fontId="0" fillId="0" borderId="2" xfId="0" applyBorder="1">
      <alignment vertical="center"/>
    </xf>
    <xf numFmtId="0" fontId="0" fillId="0" borderId="3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4" fillId="0" borderId="0" xfId="0" applyFont="1">
      <alignment vertical="center"/>
    </xf>
    <xf numFmtId="0" fontId="4" fillId="0" borderId="0" xfId="0" applyFont="1" applyFill="1">
      <alignment vertical="center"/>
    </xf>
    <xf numFmtId="0" fontId="4" fillId="2" borderId="0" xfId="0" applyFont="1" applyFill="1" applyAlignment="1">
      <alignment vertical="center" wrapText="1"/>
    </xf>
    <xf numFmtId="0" fontId="0" fillId="3" borderId="0" xfId="0" applyFill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 wrapText="1"/>
    </xf>
    <xf numFmtId="0" fontId="0" fillId="0" borderId="0" xfId="0" applyFill="1">
      <alignment vertical="center"/>
    </xf>
    <xf numFmtId="0" fontId="6" fillId="0" borderId="0" xfId="0" applyFont="1" applyAlignment="1">
      <alignment horizontal="left" vertical="center" wrapText="1"/>
    </xf>
    <xf numFmtId="0" fontId="0" fillId="4" borderId="0" xfId="0" applyFill="1" applyBorder="1">
      <alignment vertical="center"/>
    </xf>
    <xf numFmtId="0" fontId="2" fillId="4" borderId="14" xfId="0" applyFont="1" applyFill="1" applyBorder="1" applyAlignment="1">
      <alignment horizontal="center" vertical="center"/>
    </xf>
    <xf numFmtId="0" fontId="4" fillId="4" borderId="15" xfId="0" applyFont="1" applyFill="1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left" vertical="center" wrapText="1"/>
    </xf>
    <xf numFmtId="0" fontId="2" fillId="4" borderId="17" xfId="0" applyFont="1" applyFill="1" applyBorder="1" applyAlignment="1">
      <alignment horizontal="center" vertical="center" wrapText="1"/>
    </xf>
    <xf numFmtId="0" fontId="2" fillId="4" borderId="18" xfId="0" applyFont="1" applyFill="1" applyBorder="1" applyAlignment="1">
      <alignment horizontal="center" vertical="center"/>
    </xf>
    <xf numFmtId="176" fontId="2" fillId="4" borderId="19" xfId="0" applyNumberFormat="1" applyFont="1" applyFill="1" applyBorder="1" applyAlignment="1">
      <alignment horizontal="center" vertical="center"/>
    </xf>
    <xf numFmtId="0" fontId="2" fillId="4" borderId="19" xfId="0" applyFont="1" applyFill="1" applyBorder="1" applyAlignment="1">
      <alignment horizontal="center" vertical="center"/>
    </xf>
    <xf numFmtId="0" fontId="2" fillId="4" borderId="20" xfId="0" applyFont="1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14" fontId="0" fillId="0" borderId="0" xfId="0" applyNumberFormat="1">
      <alignment vertical="center"/>
    </xf>
    <xf numFmtId="0" fontId="4" fillId="0" borderId="0" xfId="0" applyFont="1" applyFill="1" applyBorder="1" applyAlignment="1">
      <alignment horizontal="center" vertical="center"/>
    </xf>
    <xf numFmtId="0" fontId="7" fillId="0" borderId="0" xfId="0" applyNumberFormat="1" applyFont="1" applyAlignment="1">
      <alignment horizontal="center" vertical="center"/>
    </xf>
    <xf numFmtId="0" fontId="7" fillId="0" borderId="0" xfId="0" applyNumberFormat="1" applyFont="1">
      <alignment vertical="center"/>
    </xf>
    <xf numFmtId="0" fontId="7" fillId="0" borderId="0" xfId="0" applyNumberFormat="1" applyFont="1" applyAlignment="1">
      <alignment horizontal="left" vertical="center"/>
    </xf>
    <xf numFmtId="0" fontId="4" fillId="0" borderId="0" xfId="0" applyNumberFormat="1" applyFont="1">
      <alignment vertical="center"/>
    </xf>
    <xf numFmtId="177" fontId="0" fillId="0" borderId="0" xfId="0" applyNumberFormat="1" applyAlignment="1">
      <alignment horizontal="center" vertical="center"/>
    </xf>
    <xf numFmtId="177" fontId="2" fillId="4" borderId="14" xfId="0" applyNumberFormat="1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left" vertical="center"/>
    </xf>
    <xf numFmtId="0" fontId="0" fillId="0" borderId="0" xfId="0" applyNumberFormat="1" applyAlignment="1">
      <alignment horizontal="center" vertical="center"/>
    </xf>
    <xf numFmtId="0" fontId="4" fillId="0" borderId="0" xfId="0" applyNumberFormat="1" applyFont="1" applyAlignment="1">
      <alignment horizontal="center" vertical="center"/>
    </xf>
    <xf numFmtId="0" fontId="4" fillId="0" borderId="0" xfId="0" applyNumberFormat="1" applyFont="1" applyAlignment="1">
      <alignment horizontal="center" vertical="center" wrapText="1"/>
    </xf>
    <xf numFmtId="0" fontId="0" fillId="0" borderId="0" xfId="0" applyNumberFormat="1" applyAlignment="1">
      <alignment horizontal="center" vertical="center" wrapText="1"/>
    </xf>
    <xf numFmtId="0" fontId="8" fillId="0" borderId="0" xfId="0" applyFont="1" applyFill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horizontal="left" vertical="center" wrapText="1"/>
    </xf>
    <xf numFmtId="176" fontId="0" fillId="0" borderId="0" xfId="0" applyNumberFormat="1" applyFill="1" applyBorder="1" applyAlignment="1">
      <alignment horizontal="center" vertical="center"/>
    </xf>
    <xf numFmtId="177" fontId="0" fillId="0" borderId="0" xfId="0" applyNumberFormat="1" applyFill="1" applyBorder="1" applyAlignment="1">
      <alignment horizontal="center" vertical="center"/>
    </xf>
    <xf numFmtId="0" fontId="0" fillId="0" borderId="0" xfId="0" applyFill="1" applyBorder="1">
      <alignment vertical="center"/>
    </xf>
    <xf numFmtId="178" fontId="0" fillId="0" borderId="0" xfId="0" applyNumberFormat="1" applyFill="1" applyBorder="1" applyAlignment="1">
      <alignment horizontal="center" vertical="center"/>
    </xf>
    <xf numFmtId="0" fontId="0" fillId="0" borderId="0" xfId="0" applyFill="1" applyBorder="1" applyAlignment="1">
      <alignment horizontal="left" vertical="center"/>
    </xf>
    <xf numFmtId="179" fontId="0" fillId="0" borderId="0" xfId="0" applyNumberFormat="1" applyFill="1" applyBorder="1" applyAlignment="1">
      <alignment horizontal="center" vertical="center"/>
    </xf>
    <xf numFmtId="0" fontId="0" fillId="0" borderId="0" xfId="0" applyFill="1" applyBorder="1" applyAlignment="1">
      <alignment vertical="center" wrapText="1"/>
    </xf>
    <xf numFmtId="0" fontId="1" fillId="5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left" vertical="center" wrapText="1"/>
    </xf>
    <xf numFmtId="0" fontId="1" fillId="6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left" vertical="center"/>
    </xf>
    <xf numFmtId="178" fontId="1" fillId="7" borderId="0" xfId="0" applyNumberFormat="1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left" vertical="center"/>
    </xf>
    <xf numFmtId="179" fontId="1" fillId="5" borderId="0" xfId="0" applyNumberFormat="1" applyFont="1" applyFill="1" applyAlignment="1">
      <alignment horizontal="center" vertical="center"/>
    </xf>
    <xf numFmtId="176" fontId="1" fillId="5" borderId="0" xfId="0" applyNumberFormat="1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3" fillId="2" borderId="0" xfId="0" applyNumberFormat="1" applyFont="1" applyFill="1" applyAlignment="1">
      <alignment horizontal="center" vertical="center"/>
    </xf>
    <xf numFmtId="0" fontId="3" fillId="2" borderId="0" xfId="0" applyNumberFormat="1" applyFont="1" applyFill="1" applyAlignment="1">
      <alignment horizontal="center" vertical="center" wrapText="1"/>
    </xf>
    <xf numFmtId="0" fontId="2" fillId="9" borderId="0" xfId="0" applyNumberFormat="1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76" fontId="3" fillId="6" borderId="0" xfId="0" applyNumberFormat="1" applyFont="1" applyFill="1" applyAlignment="1">
      <alignment horizontal="center" vertical="center"/>
    </xf>
    <xf numFmtId="176" fontId="9" fillId="6" borderId="0" xfId="0" applyNumberFormat="1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 wrapText="1"/>
    </xf>
    <xf numFmtId="177" fontId="2" fillId="6" borderId="0" xfId="0" applyNumberFormat="1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10" fillId="9" borderId="0" xfId="0" applyFont="1" applyFill="1" applyAlignment="1">
      <alignment horizontal="center" vertical="center"/>
    </xf>
    <xf numFmtId="176" fontId="10" fillId="9" borderId="0" xfId="0" applyNumberFormat="1" applyFont="1" applyFill="1" applyAlignment="1">
      <alignment horizontal="center" vertical="center"/>
    </xf>
    <xf numFmtId="178" fontId="2" fillId="9" borderId="0" xfId="0" applyNumberFormat="1" applyFont="1" applyFill="1" applyAlignment="1">
      <alignment horizontal="center" vertical="center" wrapText="1"/>
    </xf>
    <xf numFmtId="178" fontId="11" fillId="7" borderId="0" xfId="0" applyNumberFormat="1" applyFont="1" applyFill="1" applyAlignment="1">
      <alignment horizontal="center" vertical="center"/>
    </xf>
    <xf numFmtId="180" fontId="11" fillId="7" borderId="0" xfId="0" applyNumberFormat="1" applyFont="1" applyFill="1" applyAlignment="1">
      <alignment horizontal="center" vertical="center"/>
    </xf>
    <xf numFmtId="0" fontId="11" fillId="3" borderId="0" xfId="0" applyNumberFormat="1" applyFont="1" applyFill="1" applyAlignment="1">
      <alignment horizontal="left" vertical="center"/>
    </xf>
    <xf numFmtId="0" fontId="11" fillId="7" borderId="0" xfId="0" applyFont="1" applyFill="1" applyAlignment="1">
      <alignment horizontal="center" vertical="center"/>
    </xf>
    <xf numFmtId="179" fontId="11" fillId="2" borderId="0" xfId="0" applyNumberFormat="1" applyFont="1" applyFill="1" applyAlignment="1">
      <alignment horizontal="center" vertical="center"/>
    </xf>
    <xf numFmtId="180" fontId="11" fillId="9" borderId="0" xfId="0" applyNumberFormat="1" applyFont="1" applyFill="1" applyAlignment="1">
      <alignment horizontal="center" vertical="center"/>
    </xf>
    <xf numFmtId="176" fontId="11" fillId="9" borderId="0" xfId="0" applyNumberFormat="1" applyFont="1" applyFill="1" applyAlignment="1">
      <alignment horizontal="center" vertical="center"/>
    </xf>
    <xf numFmtId="0" fontId="11" fillId="9" borderId="0" xfId="0" applyFont="1" applyFill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 shrinkToFit="1"/>
    </xf>
    <xf numFmtId="0" fontId="2" fillId="0" borderId="0" xfId="0" applyFont="1" applyFill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12" fillId="0" borderId="0" xfId="0" applyNumberFormat="1" applyFont="1" applyAlignment="1">
      <alignment horizontal="center" vertical="center" wrapText="1"/>
    </xf>
    <xf numFmtId="0" fontId="13" fillId="0" borderId="0" xfId="0" applyNumberFormat="1" applyFont="1">
      <alignment vertical="center"/>
    </xf>
    <xf numFmtId="0" fontId="14" fillId="0" borderId="0" xfId="0" applyFont="1">
      <alignment vertical="center"/>
    </xf>
    <xf numFmtId="0" fontId="13" fillId="0" borderId="0" xfId="0" applyNumberFormat="1" applyFont="1" applyAlignment="1">
      <alignment horizontal="center" vertical="center"/>
    </xf>
    <xf numFmtId="0" fontId="13" fillId="3" borderId="0" xfId="0" applyNumberFormat="1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176" fontId="0" fillId="0" borderId="0" xfId="0" applyNumberFormat="1" applyFill="1" applyAlignment="1">
      <alignment horizontal="center" vertical="center"/>
    </xf>
    <xf numFmtId="0" fontId="4" fillId="0" borderId="0" xfId="0" applyFont="1" applyFill="1" applyAlignment="1">
      <alignment vertical="center" wrapText="1"/>
    </xf>
    <xf numFmtId="0" fontId="15" fillId="0" borderId="0" xfId="6" applyFont="1" applyFill="1" applyBorder="1" applyAlignment="1">
      <alignment vertical="center" wrapText="1"/>
    </xf>
    <xf numFmtId="31" fontId="0" fillId="0" borderId="0" xfId="0" applyNumberFormat="1" applyFill="1" applyBorder="1" applyAlignment="1">
      <alignment horizontal="center" vertical="center"/>
    </xf>
    <xf numFmtId="0" fontId="4" fillId="0" borderId="0" xfId="0" applyFont="1" applyAlignment="1" quotePrefix="1">
      <alignment vertical="center" wrapText="1"/>
    </xf>
    <xf numFmtId="0" fontId="0" fillId="0" borderId="0" xfId="0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3" Type="http://schemas.openxmlformats.org/officeDocument/2006/relationships/image" Target="media/image4.png"/><Relationship Id="rId2" Type="http://schemas.openxmlformats.org/officeDocument/2006/relationships/image" Target="media/image3.png"/><Relationship Id="rId1" Type="http://schemas.openxmlformats.org/officeDocument/2006/relationships/image" Target="media/image2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2.xml"/><Relationship Id="rId8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www.wps.cn/officeDocument/2020/cellImage" Target="cellimag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4.xml"/><Relationship Id="rId10" Type="http://schemas.openxmlformats.org/officeDocument/2006/relationships/customXml" Target="../customXml/item3.xml"/><Relationship Id="rId1" Type="http://schemas.openxmlformats.org/officeDocument/2006/relationships/worksheet" Target="worksheets/sheet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20</xdr:col>
      <xdr:colOff>19685</xdr:colOff>
      <xdr:row>3</xdr:row>
      <xdr:rowOff>0</xdr:rowOff>
    </xdr:from>
    <xdr:to>
      <xdr:col>20</xdr:col>
      <xdr:colOff>1828165</xdr:colOff>
      <xdr:row>3</xdr:row>
      <xdr:rowOff>0</xdr:rowOff>
    </xdr:to>
    <xdr:pic>
      <xdr:nvPicPr>
        <xdr:cNvPr id="13" name="ID_C9EB94B7E7024C93A7E8F0B9FFE518D4" descr="upload_post_object_v2_282760433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9810710" y="1593850"/>
          <a:ext cx="1808480" cy="0"/>
        </a:xfrm>
        <a:prstGeom prst="rect">
          <a:avLst/>
        </a:prstGeom>
      </xdr:spPr>
    </xdr:pic>
    <xdr:clientData/>
  </xdr:twoCellAnchor>
  <xdr:twoCellAnchor editAs="oneCell">
    <xdr:from>
      <xdr:col>20</xdr:col>
      <xdr:colOff>19685</xdr:colOff>
      <xdr:row>3</xdr:row>
      <xdr:rowOff>0</xdr:rowOff>
    </xdr:from>
    <xdr:to>
      <xdr:col>20</xdr:col>
      <xdr:colOff>1828165</xdr:colOff>
      <xdr:row>3</xdr:row>
      <xdr:rowOff>0</xdr:rowOff>
    </xdr:to>
    <xdr:pic>
      <xdr:nvPicPr>
        <xdr:cNvPr id="2" name="ID_C9EB94B7E7024C93A7E8F0B9FFE518D4" descr="upload_post_object_v2_282760433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9810710" y="1593850"/>
          <a:ext cx="1808480" cy="0"/>
        </a:xfrm>
        <a:prstGeom prst="rect">
          <a:avLst/>
        </a:prstGeom>
      </xdr:spPr>
    </xdr:pic>
    <xdr:clientData/>
  </xdr:twoCellAnchor>
  <xdr:twoCellAnchor editAs="oneCell">
    <xdr:from>
      <xdr:col>20</xdr:col>
      <xdr:colOff>19685</xdr:colOff>
      <xdr:row>3</xdr:row>
      <xdr:rowOff>0</xdr:rowOff>
    </xdr:from>
    <xdr:to>
      <xdr:col>20</xdr:col>
      <xdr:colOff>1828165</xdr:colOff>
      <xdr:row>3</xdr:row>
      <xdr:rowOff>0</xdr:rowOff>
    </xdr:to>
    <xdr:pic>
      <xdr:nvPicPr>
        <xdr:cNvPr id="3" name="ID_C9EB94B7E7024C93A7E8F0B9FFE518D4" descr="upload_post_object_v2_282760433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9810710" y="1593850"/>
          <a:ext cx="180848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58</xdr:row>
          <xdr:rowOff>0</xdr:rowOff>
        </xdr:from>
        <xdr:to>
          <xdr:col>11</xdr:col>
          <xdr:colOff>1925955</xdr:colOff>
          <xdr:row>59</xdr:row>
          <xdr:rowOff>0</xdr:rowOff>
        </xdr:to>
        <xdr:sp>
          <xdr:nvSpPr>
            <xdr:cNvPr id="3073" name="Host Control  1" hidden="1">
              <a:extLst>
                <a:ext uri="{63B3BB69-23CF-44E3-9099-C40C66FF867C}">
                  <a14:compatExt spid="_x0000_s3073"/>
                </a:ext>
              </a:extLst>
            </xdr:cNvPr>
            <xdr:cNvSpPr/>
          </xdr:nvSpPr>
          <xdr:spPr>
            <a:xfrm>
              <a:off x="14774545" y="9944100"/>
              <a:ext cx="1925955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677545</xdr:colOff>
      <xdr:row>20</xdr:row>
      <xdr:rowOff>42545</xdr:rowOff>
    </xdr:to>
    <xdr:pic>
      <xdr:nvPicPr>
        <xdr:cNvPr id="2" name="ID_692C50B4E46442008EF80AB648A9034E" descr="upload_post_object_v2_3307783998"/>
        <xdr:cNvPicPr/>
      </xdr:nvPicPr>
      <xdr:blipFill>
        <a:blip r:embed="rId1"/>
        <a:stretch>
          <a:fillRect/>
        </a:stretch>
      </xdr:blipFill>
      <xdr:spPr>
        <a:xfrm>
          <a:off x="0" y="0"/>
          <a:ext cx="5478145" cy="347154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7</xdr:col>
      <xdr:colOff>677545</xdr:colOff>
      <xdr:row>20</xdr:row>
      <xdr:rowOff>42545</xdr:rowOff>
    </xdr:to>
    <xdr:pic>
      <xdr:nvPicPr>
        <xdr:cNvPr id="3" name="ID_8EFBFD5AA2714E2EBDD28742C52E64E7" descr="upload_post_object_v2_3816664742"/>
        <xdr:cNvPicPr/>
      </xdr:nvPicPr>
      <xdr:blipFill>
        <a:blip r:embed="rId1"/>
        <a:stretch>
          <a:fillRect/>
        </a:stretch>
      </xdr:blipFill>
      <xdr:spPr>
        <a:xfrm>
          <a:off x="0" y="0"/>
          <a:ext cx="5478145" cy="347154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9</xdr:col>
      <xdr:colOff>135255</xdr:colOff>
      <xdr:row>19</xdr:row>
      <xdr:rowOff>1905</xdr:rowOff>
    </xdr:to>
    <xdr:pic>
      <xdr:nvPicPr>
        <xdr:cNvPr id="4" name="ID_E93BAD842192408F9772E39790901A56" descr="upload_post_object_v2_2929923712"/>
        <xdr:cNvPicPr/>
      </xdr:nvPicPr>
      <xdr:blipFill>
        <a:blip r:embed="rId2"/>
        <a:stretch>
          <a:fillRect/>
        </a:stretch>
      </xdr:blipFill>
      <xdr:spPr>
        <a:xfrm>
          <a:off x="0" y="0"/>
          <a:ext cx="6307455" cy="325945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9</xdr:col>
      <xdr:colOff>135255</xdr:colOff>
      <xdr:row>19</xdr:row>
      <xdr:rowOff>1905</xdr:rowOff>
    </xdr:to>
    <xdr:pic>
      <xdr:nvPicPr>
        <xdr:cNvPr id="5" name="ID_DB9D8FBEF2BE445EA9E87677451C23FF" descr="upload_post_object_v2_486633667"/>
        <xdr:cNvPicPr/>
      </xdr:nvPicPr>
      <xdr:blipFill>
        <a:blip r:embed="rId2"/>
        <a:stretch>
          <a:fillRect/>
        </a:stretch>
      </xdr:blipFill>
      <xdr:spPr>
        <a:xfrm>
          <a:off x="0" y="0"/>
          <a:ext cx="6307455" cy="325945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9</xdr:col>
      <xdr:colOff>101600</xdr:colOff>
      <xdr:row>16</xdr:row>
      <xdr:rowOff>152400</xdr:rowOff>
    </xdr:to>
    <xdr:pic>
      <xdr:nvPicPr>
        <xdr:cNvPr id="7" name="ID_C70CC3B3F41341FE9648A6B1D8F827F8" descr="upload_post_object_v2_847293881"/>
        <xdr:cNvPicPr/>
      </xdr:nvPicPr>
      <xdr:blipFill>
        <a:blip r:embed="rId3"/>
        <a:stretch>
          <a:fillRect/>
        </a:stretch>
      </xdr:blipFill>
      <xdr:spPr>
        <a:xfrm>
          <a:off x="0" y="0"/>
          <a:ext cx="6273800" cy="289560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448.613287037" refreshedBy="Unknown User" recordCount="2">
  <cacheSource type="worksheet">
    <worksheetSource ref="C2:R198807" sheet="调拨单汇总表"/>
  </cacheSource>
  <cacheFields count="16">
    <cacheField name="站点" numFmtId="0">
      <sharedItems containsBlank="1" count="7">
        <s v="US"/>
        <m/>
        <s v="UK" u="1"/>
        <s v="DE" u="1"/>
        <s v="JP" u="1"/>
        <s v="CA" u="1"/>
        <s v="FBA17XCQ64TW" u="1"/>
      </sharedItems>
    </cacheField>
    <cacheField name="调出仓库" numFmtId="0">
      <sharedItems containsBlank="1" count="2">
        <s v="手套-广州仓"/>
        <m/>
      </sharedItems>
    </cacheField>
    <cacheField name="调入仓库" numFmtId="0">
      <sharedItems containsBlank="1" count="2">
        <s v="SENWAYZON:US_FBA"/>
        <m/>
      </sharedItems>
    </cacheField>
    <cacheField name="货运方式" numFmtId="0">
      <sharedItems containsBlank="1" count="7">
        <s v="海运"/>
        <m/>
        <s v="卡航" u="1"/>
        <s v="亚马逊自提" u="1"/>
        <s v="空运" u="1"/>
        <s v="快递" u="1"/>
        <s v="空运、" u="1"/>
      </sharedItems>
    </cacheField>
    <cacheField name="发货数量" numFmtId="0">
      <sharedItems containsString="0" containsBlank="1" containsNumber="1" containsInteger="1" minValue="0" maxValue="1000" count="2">
        <n v="1000"/>
        <m/>
      </sharedItems>
    </cacheField>
    <cacheField name="箱数" numFmtId="0">
      <sharedItems containsString="0" containsBlank="1" containsNumber="1" containsInteger="1" minValue="0" maxValue="7" count="2">
        <n v="7"/>
        <m/>
      </sharedItems>
    </cacheField>
    <cacheField name="货件编号" numFmtId="0">
      <sharedItems containsBlank="1" count="2">
        <s v="FBA17LTC9SJ0"/>
        <m/>
      </sharedItems>
    </cacheField>
    <cacheField name="配送地址（仓库）" numFmtId="0">
      <sharedItems containsBlank="1" count="70">
        <s v="IND9"/>
        <m/>
        <s v="LBA4" u="1"/>
        <s v="WRO5" u="1"/>
        <s v="ORF2" u="1"/>
        <s v="IAH3" u="1"/>
        <s v="MDW2" u="1"/>
        <s v="TEB9" u="1"/>
        <s v="CLT2" u="1"/>
        <s v="FTW1" u="1"/>
        <s v="RDU2" u="1"/>
        <s v="RFD2" u="1"/>
        <s v="VGT2" u="1"/>
        <s v="YYZ7" u="1"/>
        <s v="MGE1" u="1"/>
        <s v="LAS1" u="1"/>
        <s v="FTW9" u="1"/>
        <s v="IND4" u="1"/>
        <s v="SWF2" u="1"/>
        <s v="SCK4" u="1"/>
        <s v="FTW3" u="1"/>
        <s v="AVP1" u="1"/>
        <s v="DTM2" u="1"/>
        <s v="BHX4" u="1"/>
        <s v="YXU1" u="1"/>
        <s v="ABE8" u="1"/>
        <s v="RMN3" u="1"/>
        <s v="SBD1" u="1"/>
        <s v="FWA4" u="1"/>
        <s v="ONT8" u="1"/>
        <s v="BNA3" u="1"/>
        <s v="ABE8 " u="1"/>
        <s v="GYR2" u="1"/>
        <s v="QCB3" u="1"/>
        <s v="TYO8" u="1"/>
        <s v="LAX9" u="1"/>
        <s v="LGB8" u="1"/>
        <s v="SMF3" u="1"/>
        <s v="HAJ1" u="1"/>
        <s v="多个目的地" u="1"/>
        <s v="YEG2" u="1"/>
        <s v="DAL2" u="1"/>
        <s v="IDN4" u="1"/>
        <s v="GYR3" u="1"/>
        <s v="YOW3" u="1"/>
        <s v="YY27" u="1"/>
        <s v="MDT2" u="1"/>
        <s v="SCK8" u="1"/>
        <s v="KIX4" u="1"/>
        <s v="TYO2" u="1"/>
        <s v="NGO2" u="1"/>
        <s v="ABE3" u="1"/>
        <s v="WRO6" u="1"/>
        <s v="VTG2" u="1"/>
        <s v="YVR2" u="1"/>
        <s v="SDF8" u="1"/>
        <s v="BHX8-IBH4" u="1"/>
        <s v="CLT2 " u="1"/>
        <s v="BHX8" u="1"/>
        <s v="ONT6" u="1"/>
        <s v="YVR4" u="1"/>
        <s v="NRT5" u="1"/>
        <s v="YYC1" u="1"/>
        <s v=" 多个目的地" u="1"/>
        <s v="多目的地" u="1"/>
        <s v="YXX2" u="1"/>
        <s v="YHM1" u="1"/>
        <s v="YYZ8" u="1"/>
        <s v="质检数量未录入未拣货" u="1"/>
        <s v="采购数量未录入未拣货" u="1"/>
      </sharedItems>
    </cacheField>
    <cacheField name="仓库邮编" numFmtId="0">
      <sharedItems containsString="0" containsBlank="1" containsNumber="1" containsInteger="1" minValue="0" maxValue="46143" count="2">
        <n v="46143"/>
        <m/>
      </sharedItems>
    </cacheField>
    <cacheField name="询价需求发起人" numFmtId="0">
      <sharedItems containsBlank="1" count="2">
        <s v="@王丹丹 "/>
        <m/>
      </sharedItems>
    </cacheField>
    <cacheField name="提货状态" numFmtId="0">
      <sharedItems containsBlank="1" count="3">
        <s v="已提走"/>
        <m/>
        <s v="未提走" u="1"/>
      </sharedItems>
    </cacheField>
    <cacheField name="实重" numFmtId="0">
      <sharedItems containsString="0" containsBlank="1" containsNumber="1" minValue="0" maxValue="131.7" count="2">
        <n v="131.7"/>
        <m/>
      </sharedItems>
    </cacheField>
    <cacheField name="泡重" numFmtId="0">
      <sharedItems containsString="0" containsBlank="1" containsNumber="1" minValue="0" maxValue="110.76" count="2">
        <n v="110.76"/>
        <m/>
      </sharedItems>
    </cacheField>
    <cacheField name="立方" numFmtId="0">
      <sharedItems containsString="0" containsBlank="1" containsNumber="1" minValue="0" maxValue="0.65" count="2">
        <n v="0.65"/>
        <m/>
      </sharedItems>
    </cacheField>
    <cacheField name="艾特询价执行人" numFmtId="0">
      <sharedItems containsBlank="1" count="2">
        <s v="@王丹丹 @蔡思恩 "/>
        <m/>
      </sharedItems>
    </cacheField>
    <cacheField name="询价状态_x000a_询价需求人填写" numFmtId="0">
      <sharedItems containsBlank="1" count="7">
        <s v="已完成"/>
        <m/>
        <s v="无需询价" u="1"/>
        <s v="询价中" u="1"/>
        <s v="未完成" u="1"/>
        <s v="无需" u="1"/>
        <s v="/" u="1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26">
  <r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1"/>
    <x v="0"/>
    <x v="0"/>
    <x v="1"/>
    <x v="0"/>
    <x v="0"/>
    <x v="0"/>
    <x v="0"/>
    <x v="0"/>
    <x v="0"/>
    <x v="0"/>
    <x v="0"/>
    <x v="0"/>
    <x v="0"/>
    <x v="0"/>
  </r>
  <r>
    <x v="0"/>
    <x v="2"/>
    <x v="0"/>
    <x v="1"/>
    <x v="2"/>
    <x v="1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0"/>
    <x v="1"/>
    <x v="1"/>
    <x v="0"/>
    <x v="0"/>
    <x v="0"/>
    <x v="0"/>
    <x v="0"/>
  </r>
  <r>
    <x v="1"/>
    <x v="2"/>
    <x v="1"/>
    <x v="2"/>
    <x v="3"/>
    <x v="0"/>
    <x v="0"/>
    <x v="0"/>
    <x v="1"/>
    <x v="1"/>
    <x v="1"/>
    <x v="0"/>
    <x v="0"/>
    <x v="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compactData="0" showDrill="0" multipleFieldFilters="0">
  <location ref="A4:G7" firstHeaderRow="0" firstDataRow="1" firstDataCol="3" rowPageCount="2" colPageCount="1"/>
  <pivotFields count="16">
    <pivotField axis="axisRow" compact="0" defaultSubtotal="0" outline="0" showAll="0">
      <items count="7">
        <item x="1"/>
        <item m="1" x="4"/>
        <item m="1" x="3"/>
        <item m="1" x="5"/>
        <item m="1" x="2"/>
        <item x="0"/>
        <item m="1"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howAl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howAl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defaultSubtotal="0" outline="0" showAll="0">
      <items count="7">
        <item x="1"/>
        <item x="0"/>
        <item m="1" x="3"/>
        <item m="1" x="4"/>
        <item m="1" x="5"/>
        <item m="1" x="6"/>
        <item m="1"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howAl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defaultSubtotal="0" outline="0" showAl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howAl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defaultSubtotal="0" outline="0" showAll="0">
      <items count="70">
        <item x="1"/>
        <item m="1" x="3"/>
        <item m="1" x="13"/>
        <item m="1" x="62"/>
        <item m="1" x="63"/>
        <item m="1" x="7"/>
        <item m="1" x="14"/>
        <item m="1" x="2"/>
        <item m="1" x="28"/>
        <item m="1" x="5"/>
        <item m="1" x="17"/>
        <item m="1" x="21"/>
        <item m="1" x="68"/>
        <item m="1" x="69"/>
        <item m="1" x="38"/>
        <item m="1" x="22"/>
        <item m="1" x="6"/>
        <item m="1" x="18"/>
        <item m="1" x="64"/>
        <item x="0"/>
        <item m="1" x="51"/>
        <item m="1" x="65"/>
        <item m="1" x="20"/>
        <item m="1" x="41"/>
        <item m="1" x="61"/>
        <item m="1" x="16"/>
        <item m="1" x="4"/>
        <item m="1" x="60"/>
        <item m="1" x="9"/>
        <item m="1" x="67"/>
        <item m="1" x="66"/>
        <item m="1" x="49"/>
        <item m="1" x="23"/>
        <item m="1" x="59"/>
        <item m="1" x="46"/>
        <item m="1" x="11"/>
        <item m="1" x="54"/>
        <item m="1" x="39"/>
        <item m="1" x="10"/>
        <item m="1" x="55"/>
        <item m="1" x="58"/>
        <item m="1" x="56"/>
        <item m="1" x="8"/>
        <item m="1" x="57"/>
        <item m="1" x="47"/>
        <item m="1" x="36"/>
        <item m="1" x="15"/>
        <item m="1" x="53"/>
        <item m="1" x="12"/>
        <item m="1" x="29"/>
        <item m="1" x="43"/>
        <item m="1" x="19"/>
        <item m="1" x="27"/>
        <item m="1" x="25"/>
        <item m="1" x="52"/>
        <item m="1" x="48"/>
        <item m="1" x="50"/>
        <item m="1" x="37"/>
        <item m="1" x="35"/>
        <item m="1" x="26"/>
        <item m="1" x="32"/>
        <item m="1" x="40"/>
        <item m="1" x="33"/>
        <item m="1" x="34"/>
        <item m="1" x="42"/>
        <item m="1" x="44"/>
        <item m="1" x="45"/>
        <item m="1" x="24"/>
        <item m="1" x="31"/>
        <item m="1" x="3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howAl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howAl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defaultSubtotal="0" outline="0" showAll="0">
      <items count="3">
        <item m="1" x="2"/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defaultSubtotal="0" outline="0" showAl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defaultSubtotal="0" outline="0" showAl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defaultSubtotal="0" outline="0" showAl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items count="3">
        <item x="1"/>
        <item x="0"/>
        <item t="default"/>
      </items>
    </pivotField>
    <pivotField axis="axisPage" compact="0" outline="0" subtotalTop="0" showAll="0">
      <items count="8">
        <item x="1"/>
        <item x="0"/>
        <item m="1" x="4"/>
        <item m="1" x="3"/>
        <item m="1" x="6"/>
        <item m="1" x="5"/>
        <item m="1" x="2"/>
        <item t="default"/>
      </items>
    </pivotField>
  </pivotFields>
  <rowFields count="3">
    <field x="0"/>
    <field x="3"/>
    <field x="7"/>
  </rowFields>
  <rowItems count="3">
    <i>
      <x/>
      <x/>
      <x/>
    </i>
    <i>
      <x v="5"/>
      <x v="1"/>
      <x v="19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2">
    <pageField fld="10"/>
    <pageField fld="15"/>
  </pageFields>
  <dataFields count="4">
    <dataField name="求和项:箱数" fld="5" baseField="0" baseItem="0"/>
    <dataField name="求和项:实重" fld="11" baseField="0" baseItem="0"/>
    <dataField name="求和项:泡重" fld="12" baseField="0" baseItem="0"/>
    <dataField name="求和项:立方" fld="13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3"/>
  <sheetViews>
    <sheetView tabSelected="1" zoomScale="70" zoomScaleNormal="70" workbookViewId="0">
      <pane xSplit="2" ySplit="2" topLeftCell="C3" activePane="bottomRight" state="frozen"/>
      <selection/>
      <selection pane="topRight"/>
      <selection pane="bottomLeft"/>
      <selection pane="bottomRight" activeCell="D2" sqref="D2"/>
    </sheetView>
  </sheetViews>
  <sheetFormatPr defaultColWidth="8.8" defaultRowHeight="60" customHeight="1" outlineLevelRow="2"/>
  <cols>
    <col min="1" max="1" width="37.625" style="116" customWidth="1"/>
    <col min="2" max="2" width="51.4083333333333" style="117" customWidth="1"/>
    <col min="3" max="3" width="7.38333333333333" style="116" customWidth="1"/>
    <col min="4" max="4" width="19.25" style="116" customWidth="1"/>
    <col min="5" max="5" width="18.9083333333333" style="116" customWidth="1"/>
    <col min="6" max="6" width="26.5" style="116" customWidth="1"/>
    <col min="7" max="7" width="12.525" style="116" customWidth="1"/>
    <col min="8" max="8" width="11.6416666666667" style="116" customWidth="1"/>
    <col min="9" max="9" width="22.1333333333333" style="116" customWidth="1"/>
    <col min="10" max="10" width="21.25" style="116" customWidth="1"/>
    <col min="11" max="11" width="18.2583333333333" style="116" customWidth="1"/>
    <col min="12" max="12" width="17" style="116" customWidth="1"/>
    <col min="13" max="13" width="24.8833333333333" style="116" customWidth="1"/>
    <col min="14" max="14" width="10.1083333333333" style="118" customWidth="1"/>
    <col min="15" max="15" width="10.1333333333333" style="118" customWidth="1"/>
    <col min="16" max="16" width="8.74166666666667" style="118" customWidth="1"/>
    <col min="17" max="17" width="16.4" style="116" customWidth="1"/>
    <col min="18" max="18" width="21.0083333333333" style="116" customWidth="1"/>
    <col min="19" max="19" width="18.6833333333333" style="119" customWidth="1"/>
    <col min="20" max="20" width="17.1166666666667" style="116" customWidth="1"/>
    <col min="21" max="21" width="24.325" style="117" customWidth="1"/>
    <col min="22" max="23" width="11.8166666666667" style="116" customWidth="1"/>
    <col min="24" max="24" width="10.3" style="118" customWidth="1"/>
    <col min="25" max="25" width="12.275" style="116" customWidth="1"/>
    <col min="26" max="26" width="10.3" style="118" customWidth="1"/>
    <col min="27" max="27" width="57.8833333333333" style="120" customWidth="1"/>
    <col min="28" max="28" width="15.55" style="121" customWidth="1"/>
    <col min="29" max="29" width="24.5416666666667" style="121" customWidth="1"/>
    <col min="30" max="30" width="23.9666666666667" style="116" customWidth="1"/>
    <col min="31" max="31" width="43.75" style="122" customWidth="1"/>
    <col min="32" max="32" width="49" style="116" customWidth="1"/>
    <col min="33" max="33" width="13.7583333333333" style="123" customWidth="1"/>
    <col min="34" max="34" width="45.1333333333333" style="116" customWidth="1"/>
    <col min="35" max="35" width="13.5" style="118" customWidth="1"/>
    <col min="36" max="36" width="40.1583333333333" style="124" customWidth="1"/>
    <col min="37" max="37" width="28.1333333333333" style="124" customWidth="1"/>
    <col min="38" max="38" width="18.25" style="124" customWidth="1"/>
    <col min="39" max="39" width="22.1333333333333" style="116" customWidth="1"/>
    <col min="40" max="40" width="35.7833333333333" style="120" customWidth="1"/>
    <col min="41" max="44" width="14.975" style="116" customWidth="1"/>
    <col min="45" max="45" width="10.9166666666667" style="116" customWidth="1"/>
    <col min="46" max="46" width="14.8583333333333" style="116" customWidth="1"/>
    <col min="47" max="47" width="11.5" style="116" customWidth="1"/>
    <col min="48" max="48" width="17.5583333333333" style="116" customWidth="1"/>
    <col min="49" max="49" width="14.15" style="116" customWidth="1"/>
    <col min="50" max="50" width="14.8083333333333" style="116" customWidth="1"/>
    <col min="51" max="51" width="14.1833333333333" style="116" customWidth="1"/>
    <col min="52" max="52" width="15.1" style="116" customWidth="1"/>
    <col min="53" max="53" width="12.775" style="116" customWidth="1"/>
    <col min="54" max="54" width="16.25" style="116" customWidth="1"/>
    <col min="55" max="55" width="8.8" style="120"/>
    <col min="56" max="56" width="12.8833333333333" style="120" customWidth="1"/>
    <col min="57" max="16366" width="10.3" style="120" customWidth="1"/>
    <col min="16367" max="16384" width="8.8" style="120"/>
  </cols>
  <sheetData>
    <row r="1" s="85" customFormat="1" ht="31.6" customHeight="1" spans="1:57">
      <c r="A1" s="125" t="s">
        <v>0</v>
      </c>
      <c r="B1" s="126"/>
      <c r="C1" s="125"/>
      <c r="D1" s="125"/>
      <c r="E1" s="125"/>
      <c r="F1" s="125"/>
      <c r="G1" s="125"/>
      <c r="H1" s="125"/>
      <c r="I1" s="125"/>
      <c r="J1" s="125"/>
      <c r="K1" s="125"/>
      <c r="L1" s="127" t="s">
        <v>1</v>
      </c>
      <c r="M1" s="127"/>
      <c r="N1" s="127"/>
      <c r="O1" s="127"/>
      <c r="P1" s="127"/>
      <c r="Q1" s="127"/>
      <c r="R1" s="127"/>
      <c r="S1" s="127"/>
      <c r="T1" s="127"/>
      <c r="U1" s="128"/>
      <c r="V1" s="127"/>
      <c r="W1" s="127"/>
      <c r="X1" s="127"/>
      <c r="Y1" s="127"/>
      <c r="Z1" s="127"/>
      <c r="AA1" s="127"/>
      <c r="AB1" s="127"/>
      <c r="AC1" s="129" t="s">
        <v>2</v>
      </c>
      <c r="AD1" s="130"/>
      <c r="AE1" s="131"/>
      <c r="AF1" s="130"/>
      <c r="AG1" s="132" t="s">
        <v>3</v>
      </c>
      <c r="AH1" s="125"/>
      <c r="AI1" s="133"/>
      <c r="AJ1" s="134"/>
      <c r="AK1" s="134"/>
      <c r="AL1" s="134"/>
      <c r="AM1" s="135" t="s">
        <v>4</v>
      </c>
      <c r="AN1" s="135"/>
      <c r="AO1" s="127" t="s">
        <v>5</v>
      </c>
      <c r="AP1" s="127"/>
      <c r="AQ1" s="127"/>
      <c r="AR1" s="127"/>
      <c r="AS1" s="127"/>
      <c r="AT1" s="127"/>
      <c r="AU1" s="127"/>
      <c r="AV1" s="136" t="s">
        <v>6</v>
      </c>
      <c r="AW1" s="136"/>
      <c r="AX1" s="136"/>
      <c r="AY1" s="136"/>
      <c r="AZ1" s="136"/>
      <c r="BA1" s="136"/>
      <c r="BB1" s="136"/>
      <c r="BC1" s="136"/>
      <c r="BD1" s="136"/>
    </row>
    <row r="2" s="115" customFormat="1" ht="33.9" customHeight="1" spans="1:57">
      <c r="A2" s="137" t="s">
        <v>7</v>
      </c>
      <c r="B2" s="138" t="s">
        <v>8</v>
      </c>
      <c r="C2" s="138" t="s">
        <v>9</v>
      </c>
      <c r="D2" s="138" t="s">
        <v>10</v>
      </c>
      <c r="E2" s="138" t="s">
        <v>11</v>
      </c>
      <c r="F2" s="138" t="s">
        <v>12</v>
      </c>
      <c r="G2" s="137" t="s">
        <v>13</v>
      </c>
      <c r="H2" s="137" t="s">
        <v>14</v>
      </c>
      <c r="I2" s="137" t="s">
        <v>15</v>
      </c>
      <c r="J2" s="137" t="s">
        <v>16</v>
      </c>
      <c r="K2" s="139" t="s">
        <v>17</v>
      </c>
      <c r="L2" s="140" t="s">
        <v>18</v>
      </c>
      <c r="M2" s="141" t="s">
        <v>19</v>
      </c>
      <c r="N2" s="142" t="s">
        <v>20</v>
      </c>
      <c r="O2" s="143" t="s">
        <v>21</v>
      </c>
      <c r="P2" s="143" t="s">
        <v>22</v>
      </c>
      <c r="Q2" s="140" t="s">
        <v>23</v>
      </c>
      <c r="R2" s="144" t="s">
        <v>24</v>
      </c>
      <c r="S2" s="145" t="s">
        <v>25</v>
      </c>
      <c r="T2" s="146" t="s">
        <v>26</v>
      </c>
      <c r="U2" s="147" t="s">
        <v>27</v>
      </c>
      <c r="V2" s="148" t="s">
        <v>28</v>
      </c>
      <c r="W2" s="148" t="s">
        <v>29</v>
      </c>
      <c r="X2" s="149" t="s">
        <v>30</v>
      </c>
      <c r="Y2" s="148" t="s">
        <v>31</v>
      </c>
      <c r="Z2" s="149" t="s">
        <v>32</v>
      </c>
      <c r="AA2" s="148" t="s">
        <v>33</v>
      </c>
      <c r="AB2" s="150" t="s">
        <v>34</v>
      </c>
      <c r="AC2" s="151" t="s">
        <v>35</v>
      </c>
      <c r="AD2" s="152" t="s">
        <v>36</v>
      </c>
      <c r="AE2" s="153" t="s">
        <v>37</v>
      </c>
      <c r="AF2" s="154" t="s">
        <v>38</v>
      </c>
      <c r="AG2" s="155" t="s">
        <v>39</v>
      </c>
      <c r="AH2" s="156" t="s">
        <v>40</v>
      </c>
      <c r="AI2" s="157" t="s">
        <v>41</v>
      </c>
      <c r="AJ2" s="158" t="s">
        <v>42</v>
      </c>
      <c r="AK2" s="159" t="s">
        <v>43</v>
      </c>
      <c r="AL2" s="160" t="s">
        <v>44</v>
      </c>
      <c r="AM2" s="161" t="s">
        <v>15</v>
      </c>
      <c r="AN2" s="161" t="s">
        <v>38</v>
      </c>
      <c r="AO2" s="162" t="s">
        <v>45</v>
      </c>
      <c r="AP2" s="162" t="s">
        <v>46</v>
      </c>
      <c r="AQ2" s="162" t="s">
        <v>47</v>
      </c>
      <c r="AR2" s="162" t="s">
        <v>48</v>
      </c>
      <c r="AS2" s="162" t="s">
        <v>49</v>
      </c>
      <c r="AT2" s="162" t="s">
        <v>50</v>
      </c>
      <c r="AU2" s="162" t="s">
        <v>51</v>
      </c>
      <c r="AV2" s="136" t="s">
        <v>52</v>
      </c>
      <c r="AW2" s="136" t="s">
        <v>53</v>
      </c>
      <c r="AX2" s="136" t="s">
        <v>54</v>
      </c>
      <c r="AY2" s="136" t="s">
        <v>55</v>
      </c>
      <c r="AZ2" s="136" t="s">
        <v>56</v>
      </c>
      <c r="BA2" s="136" t="s">
        <v>57</v>
      </c>
      <c r="BB2" s="136" t="s">
        <v>58</v>
      </c>
      <c r="BC2" s="136" t="s">
        <v>59</v>
      </c>
      <c r="BD2" s="136" t="s">
        <v>60</v>
      </c>
      <c r="BE2" s="163"/>
    </row>
    <row r="3" customFormat="1" customHeight="1" spans="1:57">
      <c r="A3" s="164"/>
      <c r="B3" s="165"/>
      <c r="C3" s="166"/>
      <c r="D3" s="167"/>
      <c r="E3" s="165"/>
      <c r="F3" s="167"/>
      <c r="G3" s="167"/>
      <c r="H3" s="167"/>
      <c r="I3" s="168"/>
      <c r="J3" s="167"/>
      <c r="K3" s="169"/>
      <c r="L3" s="103"/>
      <c r="M3" s="116"/>
      <c r="N3" s="165"/>
      <c r="O3" s="165"/>
      <c r="P3" s="165"/>
      <c r="Q3" s="103"/>
      <c r="R3" s="116"/>
      <c r="S3" s="119"/>
      <c r="T3" s="103"/>
      <c r="U3" s="117"/>
      <c r="V3" s="169"/>
      <c r="W3" s="169"/>
      <c r="X3" s="170"/>
      <c r="Y3" s="169"/>
      <c r="Z3" s="170"/>
      <c r="AA3" s="85"/>
      <c r="AB3" s="121"/>
      <c r="AC3" s="121"/>
      <c r="AD3" s="103"/>
      <c r="AE3" s="21"/>
      <c r="AF3" s="103"/>
      <c r="AG3" s="123"/>
      <c r="AH3" s="169"/>
      <c r="AI3" s="118"/>
      <c r="AJ3" s="171"/>
      <c r="AK3" s="52"/>
      <c r="AL3" s="172"/>
      <c r="AM3" s="163"/>
      <c r="AN3" s="163"/>
      <c r="AO3" s="103"/>
      <c r="AP3" s="173"/>
      <c r="AQ3" s="169"/>
      <c r="AR3" s="116"/>
      <c r="AS3" s="116"/>
      <c r="AT3" s="169"/>
      <c r="AU3" s="116"/>
      <c r="AV3" s="116"/>
      <c r="AW3" s="116"/>
      <c r="AX3" s="116"/>
      <c r="AY3" s="116"/>
      <c r="AZ3" s="116"/>
      <c r="BA3" s="116"/>
      <c r="BB3" s="116"/>
      <c r="BC3" s="120"/>
      <c r="BD3" s="120"/>
    </row>
  </sheetData>
  <sheetProtection formatCells="0" insertHyperlinks="0" autoFilter="0"/>
  <mergeCells count="7">
    <mergeCell ref="A1:K1"/>
    <mergeCell ref="L1:AB1"/>
    <mergeCell ref="AC1:AF1"/>
    <mergeCell ref="AG1:AL1"/>
    <mergeCell ref="AM1:AN1"/>
    <mergeCell ref="AO1:AU1"/>
    <mergeCell ref="AV1:BD1"/>
  </mergeCells>
  <conditionalFormatting sqref="K1:K2">
    <cfRule type="cellIs" dxfId="0" priority="1" operator="equal">
      <formula>"信息缺失"</formula>
    </cfRule>
    <cfRule type="cellIs" dxfId="0" priority="2" operator="equal">
      <formula>"""信息缺失"""</formula>
    </cfRule>
  </conditionalFormatting>
  <dataValidations count="12">
    <dataValidation type="list" allowBlank="1" showErrorMessage="1" errorTitle="错误提示" error="请输入下拉列表中的一个值" sqref="C1 C4:C1048576" errorStyle="information">
      <formula1>下拉列表!$B$1:$B$5</formula1>
    </dataValidation>
    <dataValidation type="list" allowBlank="1" showErrorMessage="1" errorTitle="错误提示" error="请输入下拉列表中的一个值" sqref="D1 D3 D4:D1048576" errorStyle="information">
      <formula1>下拉列表!$D:$D</formula1>
    </dataValidation>
    <dataValidation type="list" allowBlank="1" showErrorMessage="1" errorTitle="错误提示" error="请输入下拉列表中的一个值" sqref="E1 E3 E4:E1048576" errorStyle="information">
      <formula1>下拉列表!$F:$F</formula1>
    </dataValidation>
    <dataValidation type="list" allowBlank="1" showErrorMessage="1" errorTitle="错误提示" error="请输入下拉列表中的一个值" sqref="F1 F3 F4:F1048576" errorStyle="information">
      <formula1>下拉列表!$H$1:$H$7</formula1>
    </dataValidation>
    <dataValidation type="list" allowBlank="1" showErrorMessage="1" errorTitle="错误提示" error="请输入下拉列表中的一个值" sqref="M1 M3 M4:M1048576" errorStyle="information">
      <formula1>"已提走, 未提走"</formula1>
    </dataValidation>
    <dataValidation type="list" allowBlank="1" showErrorMessage="1" errorTitle="错误提示" error="请输入下拉列表中的一个值" sqref="R1 R3 R4:R1048576" errorStyle="information">
      <formula1>"未完成,询价中,已完成,无需询价"</formula1>
    </dataValidation>
    <dataValidation type="list" allowBlank="1" showErrorMessage="1" errorTitle="错误提示" error="请输入下拉列表中的一个值" sqref="AB1 AB3 AB4:AB1048576" errorStyle="information">
      <formula1>"已发,未发,无需备注"</formula1>
    </dataValidation>
    <dataValidation type="list" allowBlank="1" showErrorMessage="1" errorTitle="错误提示" error="请输入下拉列表中的一个值" sqref="AD1 AD3 AD4:AD1048576" errorStyle="information">
      <formula1>下拉列表!$N:$N</formula1>
    </dataValidation>
    <dataValidation type="list" allowBlank="1" showErrorMessage="1" errorTitle="错误提示" error="请输入下拉列表中的一个值" sqref="AE1 AE3 AE4:AE1048576" errorStyle="information">
      <formula1>下拉列表!$J:$J</formula1>
    </dataValidation>
    <dataValidation allowBlank="1" showErrorMessage="1" sqref="C2:F2 M2 R2:S2 AB2 AD2:AE2 AO2:AR2 AU2 AM1:AN3 AM4:AN1048576" errorStyle="information"/>
    <dataValidation type="list" allowBlank="1" showErrorMessage="1" errorTitle="错误提示" error="请输入下拉列表中的一个值" sqref="AR3 AO4:AR1048576" errorStyle="information">
      <formula1>"已发货,正在接收,已完成"</formula1>
    </dataValidation>
    <dataValidation type="list" allowBlank="1" showErrorMessage="1" errorTitle="错误提示" error="请输入下拉列表中的一个值" sqref="AU3 AU4:AU1048576" errorStyle="information">
      <formula1>"未索赔,索赔中,索赔成功,索赔失败"</formula1>
    </dataValidation>
  </dataValidations>
  <pageMargins left="0.75" right="0.75" top="1" bottom="1" header="0.5" footer="0.5"/>
  <headerFooter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"/>
  <sheetViews>
    <sheetView topLeftCell="L1" workbookViewId="0">
      <pane ySplit="1" topLeftCell="A158" activePane="bottomLeft" state="frozen"/>
      <selection/>
      <selection pane="bottomLeft" activeCell="L158" sqref="L158:M158"/>
    </sheetView>
  </sheetViews>
  <sheetFormatPr defaultColWidth="9" defaultRowHeight="13.5" outlineLevelRow="1"/>
  <cols>
    <col min="1" max="1" width="16.7666666666667" style="108" customWidth="1"/>
    <col min="2" max="7" width="12.6333333333333" style="3" customWidth="1"/>
    <col min="8" max="8" width="16.7666666666667" style="3" customWidth="1"/>
    <col min="9" max="9" width="12.6333333333333" style="3" customWidth="1"/>
    <col min="10" max="11" width="16.7666666666667" style="3" customWidth="1"/>
    <col min="12" max="12" width="49" customWidth="1"/>
    <col min="13" max="13" width="24.225" style="4" customWidth="1"/>
    <col min="14" max="14" width="27.6" style="4" customWidth="1"/>
    <col min="15" max="15" width="26.6333333333333" customWidth="1"/>
    <col min="16" max="16" width="16.975" style="4" customWidth="1"/>
    <col min="17" max="20" width="11.5" customWidth="1"/>
    <col min="21" max="22" width="9.38333333333333" customWidth="1"/>
    <col min="23" max="23" width="10.3833333333333"/>
  </cols>
  <sheetData>
    <row r="1" s="87" customFormat="1" ht="27.75" spans="1:23">
      <c r="A1" s="109" t="s">
        <v>61</v>
      </c>
      <c r="B1" s="89" t="s">
        <v>9</v>
      </c>
      <c r="C1" s="90" t="s">
        <v>12</v>
      </c>
      <c r="D1" s="91" t="s">
        <v>62</v>
      </c>
      <c r="E1" s="91" t="s">
        <v>14</v>
      </c>
      <c r="F1" s="91" t="s">
        <v>20</v>
      </c>
      <c r="G1" s="91" t="s">
        <v>21</v>
      </c>
      <c r="H1" s="91" t="s">
        <v>31</v>
      </c>
      <c r="I1" s="91" t="s">
        <v>22</v>
      </c>
      <c r="J1" s="91" t="s">
        <v>63</v>
      </c>
      <c r="K1" s="91" t="s">
        <v>64</v>
      </c>
      <c r="L1" s="110" t="s">
        <v>36</v>
      </c>
      <c r="M1" s="93" t="s">
        <v>37</v>
      </c>
      <c r="N1" s="92" t="s">
        <v>65</v>
      </c>
      <c r="O1" s="92" t="s">
        <v>66</v>
      </c>
      <c r="P1" s="93" t="s">
        <v>67</v>
      </c>
      <c r="Q1" s="94" t="s">
        <v>68</v>
      </c>
      <c r="R1" s="95" t="s">
        <v>28</v>
      </c>
      <c r="S1" s="96" t="s">
        <v>69</v>
      </c>
      <c r="T1" s="95" t="s">
        <v>29</v>
      </c>
      <c r="U1" s="96" t="s">
        <v>70</v>
      </c>
      <c r="V1" s="97" t="s">
        <v>30</v>
      </c>
      <c r="W1" s="87" t="s">
        <v>32</v>
      </c>
    </row>
    <row r="2" s="3" customFormat="1" ht="27" spans="1:23">
      <c r="A2" s="98">
        <v>45281</v>
      </c>
      <c r="B2" s="111" t="s">
        <v>71</v>
      </c>
      <c r="C2" s="111" t="s">
        <v>72</v>
      </c>
      <c r="D2" s="111" t="s">
        <v>73</v>
      </c>
      <c r="E2" s="111">
        <v>7</v>
      </c>
      <c r="F2" s="111">
        <v>131.7</v>
      </c>
      <c r="G2" s="111">
        <v>110.76</v>
      </c>
      <c r="H2" s="111">
        <v>132</v>
      </c>
      <c r="I2" s="111">
        <v>0.65</v>
      </c>
      <c r="J2" s="111">
        <v>46143</v>
      </c>
      <c r="K2" s="111" t="s">
        <v>74</v>
      </c>
      <c r="L2" s="112" t="s">
        <v>75</v>
      </c>
      <c r="M2" s="113" t="s">
        <v>76</v>
      </c>
      <c r="N2" s="114"/>
      <c r="O2" s="111" t="s">
        <v>77</v>
      </c>
      <c r="P2" s="114" t="s">
        <v>78</v>
      </c>
      <c r="R2" s="111">
        <v>17.66</v>
      </c>
      <c r="S2" s="111">
        <v>2331.12</v>
      </c>
      <c r="T2" s="111">
        <v>17.66</v>
      </c>
      <c r="U2" s="111">
        <v>0</v>
      </c>
      <c r="V2" s="111">
        <v>-17.66</v>
      </c>
      <c r="W2" s="111">
        <v>-2331.12</v>
      </c>
    </row>
  </sheetData>
  <sheetProtection formatCells="0" insertHyperlinks="0" autoFilter="0"/>
  <autoFilter xmlns:etc="http://www.wps.cn/officeDocument/2017/etCustomData" ref="A1:W2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7"/>
  <sheetViews>
    <sheetView workbookViewId="0">
      <pane ySplit="1" topLeftCell="A13" activePane="bottomLeft" state="frozen"/>
      <selection/>
      <selection pane="bottomLeft" activeCell="A13" sqref="A13"/>
    </sheetView>
  </sheetViews>
  <sheetFormatPr defaultColWidth="8.725" defaultRowHeight="13.5" outlineLevelCol="4"/>
  <cols>
    <col min="1" max="1" width="8.88333333333333" customWidth="1"/>
    <col min="2" max="2" width="14.6333333333333" customWidth="1"/>
    <col min="3" max="3" width="11.5" customWidth="1"/>
  </cols>
  <sheetData>
    <row r="1" spans="1:5">
      <c r="A1" s="104" t="s">
        <v>79</v>
      </c>
      <c r="B1" s="105" t="s">
        <v>80</v>
      </c>
      <c r="C1" s="106" t="s">
        <v>63</v>
      </c>
      <c r="E1" s="79" t="s">
        <v>81</v>
      </c>
    </row>
    <row r="2" spans="1:5">
      <c r="A2" s="104" t="s">
        <v>82</v>
      </c>
      <c r="B2" s="107" t="s">
        <v>74</v>
      </c>
      <c r="C2" s="106" t="s">
        <v>83</v>
      </c>
    </row>
    <row r="3" spans="1:5">
      <c r="A3" s="104" t="s">
        <v>84</v>
      </c>
      <c r="B3" s="107" t="s">
        <v>74</v>
      </c>
      <c r="C3" s="106" t="s">
        <v>85</v>
      </c>
    </row>
    <row r="4" spans="1:5">
      <c r="A4" s="104" t="s">
        <v>86</v>
      </c>
      <c r="B4" s="107" t="s">
        <v>74</v>
      </c>
      <c r="C4" s="106" t="s">
        <v>87</v>
      </c>
    </row>
    <row r="5" spans="1:5">
      <c r="A5" s="104" t="s">
        <v>88</v>
      </c>
      <c r="B5" s="107" t="s">
        <v>74</v>
      </c>
      <c r="C5" s="106">
        <v>29172</v>
      </c>
    </row>
    <row r="6" spans="1:5">
      <c r="A6" s="104" t="s">
        <v>89</v>
      </c>
      <c r="B6" s="107" t="s">
        <v>74</v>
      </c>
      <c r="C6" s="106" t="s">
        <v>90</v>
      </c>
    </row>
    <row r="7" spans="1:5">
      <c r="A7" s="104" t="s">
        <v>91</v>
      </c>
      <c r="B7" s="107" t="s">
        <v>74</v>
      </c>
      <c r="C7" s="106" t="s">
        <v>92</v>
      </c>
    </row>
    <row r="8" spans="1:5">
      <c r="A8" s="104" t="s">
        <v>93</v>
      </c>
      <c r="B8" s="107" t="s">
        <v>74</v>
      </c>
      <c r="C8" s="106" t="s">
        <v>94</v>
      </c>
    </row>
    <row r="9" spans="1:5">
      <c r="A9" s="104" t="s">
        <v>95</v>
      </c>
      <c r="B9" s="107" t="s">
        <v>74</v>
      </c>
      <c r="C9" s="106" t="s">
        <v>96</v>
      </c>
    </row>
    <row r="10" spans="1:5">
      <c r="A10" s="104" t="s">
        <v>97</v>
      </c>
      <c r="B10" s="107" t="s">
        <v>74</v>
      </c>
      <c r="C10" s="106" t="s">
        <v>98</v>
      </c>
    </row>
    <row r="11" spans="1:5">
      <c r="A11" s="104" t="s">
        <v>99</v>
      </c>
      <c r="B11" s="107" t="s">
        <v>74</v>
      </c>
      <c r="C11" s="106" t="s">
        <v>100</v>
      </c>
    </row>
    <row r="12" spans="1:5">
      <c r="A12" s="104" t="s">
        <v>101</v>
      </c>
      <c r="B12" s="107" t="s">
        <v>74</v>
      </c>
      <c r="C12" s="106" t="s">
        <v>102</v>
      </c>
    </row>
    <row r="13" spans="1:5">
      <c r="A13" s="104" t="s">
        <v>103</v>
      </c>
      <c r="B13" s="105" t="s">
        <v>104</v>
      </c>
      <c r="C13" s="106" t="s">
        <v>105</v>
      </c>
    </row>
    <row r="14" spans="1:5">
      <c r="A14" s="104" t="s">
        <v>73</v>
      </c>
      <c r="B14" s="107" t="s">
        <v>74</v>
      </c>
      <c r="C14" s="106">
        <v>46143</v>
      </c>
    </row>
    <row r="15" spans="1:5">
      <c r="A15" s="104" t="s">
        <v>106</v>
      </c>
      <c r="B15" s="107" t="s">
        <v>107</v>
      </c>
      <c r="C15" s="106">
        <v>89044</v>
      </c>
    </row>
    <row r="16" spans="1:5">
      <c r="A16" s="104" t="s">
        <v>108</v>
      </c>
      <c r="B16" s="107" t="s">
        <v>74</v>
      </c>
      <c r="C16" s="106" t="s">
        <v>109</v>
      </c>
    </row>
    <row r="17" spans="1:3">
      <c r="A17" s="104" t="s">
        <v>110</v>
      </c>
      <c r="B17" s="105" t="s">
        <v>107</v>
      </c>
      <c r="C17" s="106" t="s">
        <v>111</v>
      </c>
    </row>
    <row r="18" spans="1:3">
      <c r="A18" s="104" t="s">
        <v>112</v>
      </c>
      <c r="B18" s="107" t="s">
        <v>74</v>
      </c>
      <c r="C18" s="106" t="s">
        <v>113</v>
      </c>
    </row>
    <row r="19" spans="1:3">
      <c r="A19" s="104" t="s">
        <v>114</v>
      </c>
      <c r="B19" s="107" t="s">
        <v>74</v>
      </c>
      <c r="C19" s="106">
        <v>38118</v>
      </c>
    </row>
    <row r="20" spans="1:3">
      <c r="A20" s="104" t="s">
        <v>115</v>
      </c>
      <c r="B20" s="107" t="s">
        <v>74</v>
      </c>
      <c r="C20" s="106" t="s">
        <v>116</v>
      </c>
    </row>
    <row r="21" spans="1:3">
      <c r="A21" s="104" t="s">
        <v>117</v>
      </c>
      <c r="B21" s="107" t="s">
        <v>74</v>
      </c>
      <c r="C21" s="106">
        <v>46140</v>
      </c>
    </row>
    <row r="22" spans="1:3">
      <c r="A22" s="104" t="s">
        <v>118</v>
      </c>
      <c r="B22" s="107" t="s">
        <v>74</v>
      </c>
      <c r="C22" s="106" t="s">
        <v>119</v>
      </c>
    </row>
    <row r="23" spans="1:3">
      <c r="A23" s="104" t="s">
        <v>120</v>
      </c>
      <c r="B23" s="107" t="s">
        <v>74</v>
      </c>
      <c r="C23" s="106" t="s">
        <v>121</v>
      </c>
    </row>
    <row r="24" spans="1:3">
      <c r="A24" s="104" t="s">
        <v>122</v>
      </c>
      <c r="B24" s="107" t="s">
        <v>74</v>
      </c>
      <c r="C24" s="106" t="s">
        <v>123</v>
      </c>
    </row>
    <row r="25" spans="1:3">
      <c r="A25" s="104" t="s">
        <v>124</v>
      </c>
      <c r="B25" s="105" t="s">
        <v>107</v>
      </c>
      <c r="C25" s="106">
        <v>95215</v>
      </c>
    </row>
    <row r="26" spans="1:3">
      <c r="A26" s="104" t="s">
        <v>125</v>
      </c>
      <c r="B26" s="107" t="s">
        <v>74</v>
      </c>
      <c r="C26" s="106">
        <v>47130</v>
      </c>
    </row>
    <row r="27" spans="1:3">
      <c r="A27" s="104" t="s">
        <v>126</v>
      </c>
      <c r="B27" s="107" t="s">
        <v>74</v>
      </c>
      <c r="C27" s="106" t="s">
        <v>127</v>
      </c>
    </row>
    <row r="28" spans="1:3">
      <c r="A28" s="104" t="s">
        <v>128</v>
      </c>
      <c r="B28" s="107" t="s">
        <v>74</v>
      </c>
      <c r="C28" s="106" t="s">
        <v>129</v>
      </c>
    </row>
    <row r="29" spans="1:3">
      <c r="A29" s="79" t="s">
        <v>130</v>
      </c>
      <c r="B29" s="107" t="s">
        <v>74</v>
      </c>
      <c r="C29" s="174" t="s">
        <v>131</v>
      </c>
    </row>
    <row r="30" spans="1:3">
      <c r="A30" s="79" t="s">
        <v>132</v>
      </c>
      <c r="B30" s="107" t="s">
        <v>74</v>
      </c>
      <c r="C30" s="79" t="s">
        <v>133</v>
      </c>
    </row>
    <row r="31" spans="1:3">
      <c r="A31" s="79" t="s">
        <v>134</v>
      </c>
      <c r="B31" s="107" t="s">
        <v>74</v>
      </c>
      <c r="C31" s="79" t="s">
        <v>135</v>
      </c>
    </row>
    <row r="32" spans="1:3">
      <c r="A32" s="79" t="s">
        <v>136</v>
      </c>
      <c r="B32" s="107" t="s">
        <v>74</v>
      </c>
      <c r="C32" s="79" t="s">
        <v>137</v>
      </c>
    </row>
    <row r="33" spans="1:3">
      <c r="A33" s="79" t="s">
        <v>138</v>
      </c>
      <c r="B33" s="107" t="s">
        <v>74</v>
      </c>
      <c r="C33" s="79" t="s">
        <v>139</v>
      </c>
    </row>
    <row r="34" spans="1:3">
      <c r="A34" t="s">
        <v>140</v>
      </c>
      <c r="B34" s="107" t="s">
        <v>74</v>
      </c>
      <c r="C34" s="100">
        <v>38350</v>
      </c>
    </row>
    <row r="35" spans="1:3">
      <c r="A35" t="s">
        <v>141</v>
      </c>
      <c r="B35" s="107" t="s">
        <v>74</v>
      </c>
      <c r="C35" t="s">
        <v>142</v>
      </c>
    </row>
    <row r="36" spans="1:3">
      <c r="A36" s="79" t="s">
        <v>143</v>
      </c>
      <c r="B36" s="107" t="s">
        <v>74</v>
      </c>
      <c r="C36">
        <v>44145</v>
      </c>
    </row>
    <row r="37" spans="1:3">
      <c r="A37" s="79" t="s">
        <v>144</v>
      </c>
      <c r="B37" s="105" t="s">
        <v>107</v>
      </c>
      <c r="C37" s="79" t="s">
        <v>145</v>
      </c>
    </row>
    <row r="38" spans="1:3">
      <c r="A38" s="105" t="s">
        <v>146</v>
      </c>
      <c r="B38" s="105" t="s">
        <v>74</v>
      </c>
      <c r="C38" s="105" t="s">
        <v>147</v>
      </c>
    </row>
    <row r="39" spans="1:3">
      <c r="A39" s="105" t="s">
        <v>148</v>
      </c>
      <c r="B39" s="105" t="s">
        <v>74</v>
      </c>
      <c r="C39" s="105" t="s">
        <v>149</v>
      </c>
    </row>
    <row r="40" spans="1:3">
      <c r="A40" s="105" t="s">
        <v>150</v>
      </c>
      <c r="B40" s="105" t="s">
        <v>74</v>
      </c>
      <c r="C40" s="105" t="s">
        <v>151</v>
      </c>
    </row>
    <row r="41" spans="1:3">
      <c r="A41" s="105" t="s">
        <v>152</v>
      </c>
      <c r="B41" s="105" t="s">
        <v>74</v>
      </c>
      <c r="C41" s="105" t="s">
        <v>153</v>
      </c>
    </row>
    <row r="42" spans="1:3">
      <c r="A42" s="105" t="s">
        <v>154</v>
      </c>
      <c r="B42" s="105" t="s">
        <v>74</v>
      </c>
      <c r="C42" s="105" t="s">
        <v>155</v>
      </c>
    </row>
    <row r="43" spans="1:3">
      <c r="A43" s="105" t="s">
        <v>156</v>
      </c>
      <c r="B43" s="105" t="s">
        <v>74</v>
      </c>
      <c r="C43" s="105" t="s">
        <v>157</v>
      </c>
    </row>
    <row r="44" spans="1:3">
      <c r="A44" s="105" t="s">
        <v>158</v>
      </c>
      <c r="B44" s="105" t="s">
        <v>74</v>
      </c>
      <c r="C44" s="105" t="s">
        <v>159</v>
      </c>
    </row>
    <row r="45" spans="1:3">
      <c r="A45" s="105" t="s">
        <v>160</v>
      </c>
      <c r="B45" s="105" t="s">
        <v>74</v>
      </c>
      <c r="C45" s="105" t="s">
        <v>161</v>
      </c>
    </row>
    <row r="46" spans="1:3">
      <c r="A46" s="105" t="s">
        <v>162</v>
      </c>
      <c r="B46" s="105" t="s">
        <v>74</v>
      </c>
      <c r="C46" s="105" t="s">
        <v>163</v>
      </c>
    </row>
    <row r="47" spans="1:3">
      <c r="A47" s="105" t="s">
        <v>164</v>
      </c>
      <c r="B47" s="105" t="s">
        <v>74</v>
      </c>
      <c r="C47" s="105" t="s">
        <v>165</v>
      </c>
    </row>
    <row r="48" spans="1:3">
      <c r="A48" s="79" t="s">
        <v>166</v>
      </c>
      <c r="B48" s="79" t="s">
        <v>74</v>
      </c>
      <c r="C48" s="79" t="s">
        <v>167</v>
      </c>
    </row>
    <row r="49" spans="1:3">
      <c r="A49" s="79" t="s">
        <v>168</v>
      </c>
      <c r="B49" s="79" t="s">
        <v>74</v>
      </c>
      <c r="C49" s="99" t="s">
        <v>169</v>
      </c>
    </row>
    <row r="50" spans="1:3">
      <c r="A50" s="79" t="s">
        <v>170</v>
      </c>
      <c r="B50" s="79" t="s">
        <v>74</v>
      </c>
      <c r="C50" s="100">
        <v>75261</v>
      </c>
    </row>
    <row r="51" spans="1:3">
      <c r="A51" s="79" t="s">
        <v>171</v>
      </c>
      <c r="B51" s="79" t="s">
        <v>74</v>
      </c>
      <c r="C51">
        <v>21227</v>
      </c>
    </row>
    <row r="52" spans="1:3">
      <c r="A52" s="79" t="s">
        <v>172</v>
      </c>
      <c r="B52" s="105" t="s">
        <v>107</v>
      </c>
      <c r="C52" s="79" t="s">
        <v>173</v>
      </c>
    </row>
    <row r="53" spans="1:3">
      <c r="A53" s="79" t="s">
        <v>174</v>
      </c>
      <c r="B53" s="79" t="s">
        <v>74</v>
      </c>
      <c r="C53" s="79" t="s">
        <v>175</v>
      </c>
    </row>
    <row r="54" spans="1:3">
      <c r="A54" s="79" t="s">
        <v>176</v>
      </c>
      <c r="B54" s="79" t="s">
        <v>74</v>
      </c>
      <c r="C54">
        <v>77032</v>
      </c>
    </row>
    <row r="55" spans="1:3">
      <c r="A55" s="79" t="s">
        <v>177</v>
      </c>
      <c r="B55" s="79" t="s">
        <v>74</v>
      </c>
      <c r="C55">
        <v>63801</v>
      </c>
    </row>
    <row r="56" spans="1:3">
      <c r="A56" s="79" t="s">
        <v>178</v>
      </c>
      <c r="B56" s="79" t="s">
        <v>74</v>
      </c>
      <c r="C56" s="79" t="s">
        <v>179</v>
      </c>
    </row>
    <row r="57" spans="1:3">
      <c r="A57" s="79" t="s">
        <v>180</v>
      </c>
      <c r="B57" s="79" t="s">
        <v>74</v>
      </c>
      <c r="C57">
        <v>92551</v>
      </c>
    </row>
    <row r="58" spans="1:3">
      <c r="A58" s="79" t="s">
        <v>181</v>
      </c>
      <c r="B58" s="79" t="s">
        <v>74</v>
      </c>
      <c r="C58">
        <v>60142</v>
      </c>
    </row>
    <row r="59" spans="1:3">
      <c r="A59" s="79" t="s">
        <v>182</v>
      </c>
      <c r="B59" s="79" t="s">
        <v>74</v>
      </c>
      <c r="C59" s="79" t="s">
        <v>183</v>
      </c>
    </row>
    <row r="60" spans="1:3">
      <c r="A60" s="79" t="s">
        <v>184</v>
      </c>
      <c r="B60" s="79" t="s">
        <v>74</v>
      </c>
      <c r="C60">
        <v>27577</v>
      </c>
    </row>
    <row r="61" spans="1:3">
      <c r="A61" s="79" t="s">
        <v>185</v>
      </c>
      <c r="B61" s="79" t="s">
        <v>74</v>
      </c>
      <c r="C61" s="79" t="s">
        <v>186</v>
      </c>
    </row>
    <row r="62" spans="1:3">
      <c r="A62" s="79" t="s">
        <v>187</v>
      </c>
      <c r="B62" s="79" t="s">
        <v>74</v>
      </c>
      <c r="C62" s="79" t="s">
        <v>188</v>
      </c>
    </row>
    <row r="63" spans="1:3">
      <c r="A63" s="79" t="s">
        <v>189</v>
      </c>
      <c r="B63" s="79" t="s">
        <v>74</v>
      </c>
      <c r="C63" s="79" t="s">
        <v>190</v>
      </c>
    </row>
    <row r="64" spans="1:3">
      <c r="A64" s="79" t="s">
        <v>191</v>
      </c>
      <c r="B64" s="79" t="s">
        <v>74</v>
      </c>
      <c r="C64">
        <v>22406</v>
      </c>
    </row>
    <row r="65" spans="1:3">
      <c r="A65" s="79" t="s">
        <v>192</v>
      </c>
      <c r="B65" s="79" t="s">
        <v>74</v>
      </c>
      <c r="C65" s="79" t="s">
        <v>193</v>
      </c>
    </row>
    <row r="66" spans="1:3">
      <c r="A66" s="79" t="s">
        <v>194</v>
      </c>
      <c r="B66" s="79" t="s">
        <v>74</v>
      </c>
      <c r="C66" s="79" t="s">
        <v>195</v>
      </c>
    </row>
    <row r="67" spans="1:3">
      <c r="A67" s="79" t="s">
        <v>196</v>
      </c>
      <c r="B67" s="79" t="s">
        <v>74</v>
      </c>
      <c r="C67">
        <v>76131</v>
      </c>
    </row>
  </sheetData>
  <sheetProtection formatCells="0" insertHyperlinks="0" autoFilter="0"/>
  <autoFilter xmlns:etc="http://www.wps.cn/officeDocument/2017/etCustomData" ref="A1:E67" etc:filterBottomFollowUsedRange="0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77"/>
  <sheetViews>
    <sheetView topLeftCell="A58" workbookViewId="0">
      <selection activeCell="A123" sqref="$A123:$XFD128"/>
    </sheetView>
  </sheetViews>
  <sheetFormatPr defaultColWidth="9" defaultRowHeight="13.5"/>
  <cols>
    <col min="1" max="1" width="10.3833333333333"/>
    <col min="2" max="2" width="13.6333333333333" customWidth="1"/>
    <col min="3" max="3" width="20.25"/>
    <col min="4" max="8" width="12"/>
    <col min="9" max="9" width="5.38333333333333" customWidth="1"/>
    <col min="11" max="12" width="11.5" customWidth="1"/>
    <col min="13" max="13" width="18.7583333333333" customWidth="1"/>
    <col min="14" max="14" width="18.5" customWidth="1"/>
    <col min="15" max="15" width="14.3833333333333" customWidth="1"/>
    <col min="16" max="16" width="24.5" customWidth="1"/>
    <col min="17" max="17" width="13.6333333333333" customWidth="1"/>
    <col min="18" max="21" width="11.5" customWidth="1"/>
    <col min="22" max="23" width="9.38333333333333" customWidth="1"/>
  </cols>
  <sheetData>
    <row r="1" spans="1:7">
      <c r="A1" t="s">
        <v>19</v>
      </c>
      <c r="B1" t="s">
        <v>197</v>
      </c>
    </row>
    <row r="2" spans="1:7">
      <c r="A2" t="s">
        <v>24</v>
      </c>
      <c r="B2" t="s">
        <v>197</v>
      </c>
    </row>
    <row r="4" spans="1:7">
      <c r="A4" t="s">
        <v>9</v>
      </c>
      <c r="B4" t="s">
        <v>12</v>
      </c>
      <c r="C4" t="s">
        <v>16</v>
      </c>
      <c r="D4" t="s">
        <v>198</v>
      </c>
      <c r="E4" t="s">
        <v>199</v>
      </c>
      <c r="F4" t="s">
        <v>200</v>
      </c>
      <c r="G4" t="s">
        <v>201</v>
      </c>
    </row>
    <row r="5" spans="1:7">
      <c r="A5" t="s">
        <v>202</v>
      </c>
      <c r="B5" t="s">
        <v>202</v>
      </c>
      <c r="C5" t="s">
        <v>202</v>
      </c>
    </row>
    <row r="6" spans="1:7">
      <c r="A6" t="s">
        <v>71</v>
      </c>
      <c r="B6" t="s">
        <v>72</v>
      </c>
      <c r="C6" t="s">
        <v>73</v>
      </c>
      <c r="D6">
        <v>7</v>
      </c>
      <c r="E6">
        <v>131.7</v>
      </c>
      <c r="F6">
        <v>110.76</v>
      </c>
      <c r="G6">
        <v>0.65</v>
      </c>
    </row>
    <row r="7" spans="1:7">
      <c r="A7" t="s">
        <v>203</v>
      </c>
      <c r="D7">
        <v>7</v>
      </c>
      <c r="E7">
        <v>131.7</v>
      </c>
      <c r="F7">
        <v>110.76</v>
      </c>
      <c r="G7">
        <v>0.65</v>
      </c>
    </row>
    <row r="58" ht="135" spans="1:23">
      <c r="C58" s="84" t="s">
        <v>204</v>
      </c>
      <c r="M58" s="84" t="s">
        <v>205</v>
      </c>
    </row>
    <row r="59" ht="14.25"/>
    <row r="60" s="87" customFormat="1" ht="27.75" spans="1:23">
      <c r="A60" s="88" t="s">
        <v>61</v>
      </c>
      <c r="B60" s="89" t="s">
        <v>9</v>
      </c>
      <c r="C60" s="90" t="s">
        <v>12</v>
      </c>
      <c r="D60" s="91" t="s">
        <v>62</v>
      </c>
      <c r="E60" s="91" t="s">
        <v>14</v>
      </c>
      <c r="F60" s="91" t="s">
        <v>20</v>
      </c>
      <c r="G60" s="91" t="s">
        <v>21</v>
      </c>
      <c r="H60" s="91" t="s">
        <v>31</v>
      </c>
      <c r="I60" s="91" t="s">
        <v>22</v>
      </c>
      <c r="J60" s="91" t="s">
        <v>63</v>
      </c>
      <c r="K60" s="91" t="s">
        <v>64</v>
      </c>
      <c r="L60" s="91" t="s">
        <v>36</v>
      </c>
      <c r="M60" s="92" t="s">
        <v>37</v>
      </c>
      <c r="N60" s="93" t="s">
        <v>65</v>
      </c>
      <c r="O60" s="92" t="s">
        <v>66</v>
      </c>
      <c r="P60" s="92" t="s">
        <v>67</v>
      </c>
      <c r="Q60" s="93" t="s">
        <v>68</v>
      </c>
      <c r="R60" s="94" t="s">
        <v>28</v>
      </c>
      <c r="S60" s="95" t="s">
        <v>69</v>
      </c>
      <c r="T60" s="96" t="s">
        <v>29</v>
      </c>
      <c r="U60" s="95" t="s">
        <v>70</v>
      </c>
      <c r="V60" s="96" t="s">
        <v>30</v>
      </c>
      <c r="W60" s="97" t="s">
        <v>32</v>
      </c>
    </row>
    <row r="61" s="3" customFormat="1" ht="52.65" spans="1:23">
      <c r="A61" s="98">
        <v>45173</v>
      </c>
      <c r="B61" s="33" t="s">
        <v>206</v>
      </c>
      <c r="C61" s="33" t="s">
        <v>207</v>
      </c>
      <c r="D61" s="33" t="s">
        <v>140</v>
      </c>
      <c r="E61" s="3" t="e">
        <f t="array" ref="E61">INDEX($D:$D,MATCH(1,($B:$B=C61)*($C:$C=D61),0))</f>
        <v>#N/A</v>
      </c>
      <c r="F61" s="3" t="e">
        <f t="array" ref="F61">INDEX($E:$E,MATCH(1,($B:$B=C61)*($C:$C=D61),0))</f>
        <v>#N/A</v>
      </c>
      <c r="G61" s="3" t="e">
        <f t="array" ref="G61">INDEX($F:$F,MATCH(1,($B:$B=C61)*($C:$C=D61),0))</f>
        <v>#N/A</v>
      </c>
      <c r="H61" s="3" t="e">
        <f>IF(MAX(F61:G61)=0,0,IF(MAX(F61:G61)&lt;21,21,IF(F61&gt;G61,ROUNDUP(F61,0),IFERROR(_xlfn.IFS(B61&amp;C61&amp;L61="US空运速十",ROUNDUP((F61+G61)*0.5,0),B61&amp;C61&amp;L61="US空运原飞航",ROUNDUP((F61+G61)*0.5,0),B61&amp;C61&amp;L61="US空运美通",ROUNDUP((F61+G61)*0.5,0),B61&amp;C61&amp;L61="UK空运美通",ROUNDUP((F61+G61)*0.5,0),B61&amp;C61&amp;L617="DE空运美通",ROUNDUP((F61+G61)*0.5,0)),ROUNDUP(MAX(F61:G61),0)))))</f>
        <v>#N/A</v>
      </c>
      <c r="I61" s="3" t="e">
        <f t="array" ref="I61">INDEX($G:$G,MATCH(1,($B:$B=C61)*($C:$C=D61),0))</f>
        <v>#N/A</v>
      </c>
      <c r="J61" s="3">
        <f>VLOOKUP(D61,FBA地址记录!A:C,3,0)</f>
        <v>38350</v>
      </c>
      <c r="K61" s="3" t="str">
        <f>IFERROR(VLOOKUP(D61,FBA地址记录!A:B,2,0),"否")</f>
        <v>否</v>
      </c>
      <c r="L61" s="33" t="s">
        <v>208</v>
      </c>
      <c r="M61" s="99" t="s">
        <v>209</v>
      </c>
      <c r="N61" s="99" t="s">
        <v>210</v>
      </c>
      <c r="P61" s="100" t="e">
        <f>D61&amp;"："&amp;E61&amp;"箱-"&amp;H61&amp;"KG-"&amp;I61&amp;"方"</f>
        <v>#N/A</v>
      </c>
      <c r="Q61" s="3" t="str">
        <f>_xlfn.DISPIMG("ID_692C50B4E46442008EF80AB648A9034E",1)</f>
        <v>=DISPIMG("ID_692C50B4E46442008EF80AB648A9034E",1)</v>
      </c>
      <c r="R61" s="3">
        <v>29.5</v>
      </c>
      <c r="S61" s="3" t="e">
        <f>R61*H61</f>
        <v>#N/A</v>
      </c>
      <c r="T61" s="3">
        <v>28.5</v>
      </c>
      <c r="U61" s="3" t="e">
        <f>T61*H61</f>
        <v>#N/A</v>
      </c>
      <c r="V61" s="3">
        <f>T61-R61</f>
        <v>-1</v>
      </c>
      <c r="W61" s="3" t="e">
        <f>U61-S61</f>
        <v>#N/A</v>
      </c>
    </row>
    <row r="62" s="3" customFormat="1" ht="52.65" spans="1:23">
      <c r="A62" s="98">
        <v>45173</v>
      </c>
      <c r="B62" s="33" t="s">
        <v>211</v>
      </c>
      <c r="C62" s="33" t="s">
        <v>207</v>
      </c>
      <c r="D62" s="33" t="s">
        <v>141</v>
      </c>
      <c r="E62" s="3" t="e">
        <f t="array" ref="E62">INDEX($D:$D,MATCH(1,($B:$B=C62)*($C:$C=D62),0))</f>
        <v>#N/A</v>
      </c>
      <c r="F62" s="3" t="e">
        <f t="array" ref="F62">INDEX($E:$E,MATCH(1,($B:$B=C62)*($C:$C=D62),0))</f>
        <v>#N/A</v>
      </c>
      <c r="G62" s="3" t="e">
        <f t="array" ref="G62">INDEX($F:$F,MATCH(1,($B:$B=C62)*($C:$C=D62),0))</f>
        <v>#N/A</v>
      </c>
      <c r="H62" s="3" t="e">
        <f>IF(MAX(F62:G62)=0,0,IF(MAX(F62:G62)&lt;21,21,IF(F62&gt;G62,ROUNDUP(F62,0),IFERROR(_xlfn.IFS(B62&amp;C62&amp;L62="US空运速十",ROUNDUP((F62+G62)*0.5,0),B62&amp;C62&amp;L62="US空运原飞航",ROUNDUP((F62+G62)*0.5,0),B62&amp;C62&amp;L62="US空运美通",ROUNDUP((F62+G62)*0.5,0),B62&amp;C62&amp;L62="UK空运美通",ROUNDUP((F62+G62)*0.5,0),B62&amp;C62&amp;L618="DE空运美通",ROUNDUP((F62+G62)*0.5,0)),ROUNDUP(MAX(F62:G62),0)))))</f>
        <v>#N/A</v>
      </c>
      <c r="I62" s="3" t="e">
        <f t="array" ref="I62">INDEX($G:$G,MATCH(1,($B:$B=C62)*($C:$C=D62),0))</f>
        <v>#N/A</v>
      </c>
      <c r="J62" s="3" t="str">
        <f>VLOOKUP(D62,FBA地址记录!A:C,3,0)</f>
        <v>CV5 9PF</v>
      </c>
      <c r="K62" s="3" t="str">
        <f>IFERROR(VLOOKUP(D62,FBA地址记录!A:B,2,0),"否")</f>
        <v>否</v>
      </c>
      <c r="L62" s="33" t="s">
        <v>208</v>
      </c>
      <c r="M62" s="99" t="s">
        <v>212</v>
      </c>
      <c r="N62" s="101" t="s">
        <v>213</v>
      </c>
      <c r="P62" s="100" t="e">
        <f>D62&amp;"："&amp;E62&amp;"箱-"&amp;H62&amp;"KG-"&amp;I62&amp;"方"</f>
        <v>#N/A</v>
      </c>
      <c r="Q62" s="3" t="str">
        <f>_xlfn.DISPIMG("ID_8EFBFD5AA2714E2EBDD28742C52E64E7",1)</f>
        <v>=DISPIMG("ID_8EFBFD5AA2714E2EBDD28742C52E64E7",1)</v>
      </c>
      <c r="R62" s="3">
        <v>27.5</v>
      </c>
      <c r="S62" s="3" t="e">
        <f>R62*H62</f>
        <v>#N/A</v>
      </c>
      <c r="T62" s="3">
        <v>27</v>
      </c>
      <c r="U62" s="3" t="e">
        <f>T62*H62</f>
        <v>#N/A</v>
      </c>
      <c r="V62" s="3">
        <f>T62-R62</f>
        <v>-0.5</v>
      </c>
      <c r="W62" s="3" t="e">
        <f>U62-S62</f>
        <v>#N/A</v>
      </c>
    </row>
    <row r="63" spans="1:23">
      <c r="P63" s="100"/>
      <c r="S63" s="3"/>
      <c r="T63" s="3"/>
      <c r="U63" s="3"/>
      <c r="V63" s="3"/>
      <c r="W63" s="3"/>
    </row>
    <row r="64" ht="43.35" spans="1:23">
      <c r="A64" s="102">
        <v>45385</v>
      </c>
      <c r="B64" s="79" t="s">
        <v>206</v>
      </c>
      <c r="C64" s="79" t="s">
        <v>207</v>
      </c>
      <c r="D64" s="103" t="s">
        <v>130</v>
      </c>
      <c r="E64" s="3" t="e">
        <f t="array" ref="E64">INDEX($D:$D,MATCH(1,($B:$B=C64)*($C:$C=D64),0))</f>
        <v>#N/A</v>
      </c>
      <c r="F64" s="3" t="e">
        <f t="array" ref="F64">INDEX($E:$E,MATCH(1,($B:$B=C64)*($C:$C=D64),0))</f>
        <v>#N/A</v>
      </c>
      <c r="G64" s="3" t="e">
        <f t="array" ref="G64">INDEX($F:$F,MATCH(1,($B:$B=C64)*($C:$C=D64),0))</f>
        <v>#N/A</v>
      </c>
      <c r="H64" s="3" t="e">
        <f>IF(MAX(F64:G64)=0,0,IF(MAX(F64:G64)&lt;21,21,IF(F64&gt;G64,ROUNDUP(F64,0),IFERROR(_xlfn.IFS(B64&amp;C64&amp;L64="US空运速十",ROUNDUP((F64+G64)*0.5,0),B64&amp;C64&amp;L64="US空运原飞航",ROUNDUP((F64+G64)*0.5,0),B64&amp;C64&amp;L64="US空运美通",ROUNDUP((F64+G64)*0.5,0),B64&amp;C64&amp;L64="UK空运美通",ROUNDUP((F64+G64)*0.5,0),B64&amp;C64&amp;L620="DE空运美通",ROUNDUP((F64+G64)*0.5,0)),ROUNDUP(MAX(F64:G64),0)))))</f>
        <v>#N/A</v>
      </c>
      <c r="I64" s="3" t="e">
        <f t="array" ref="I64">INDEX($G:$G,MATCH(1,($B:$B=C64)*($C:$C=D64),0))</f>
        <v>#N/A</v>
      </c>
      <c r="J64" s="175" t="str">
        <f>VLOOKUP(D64,FBA地址记录!A:C,3,0)</f>
        <v>06126</v>
      </c>
      <c r="K64" s="3" t="str">
        <f>IFERROR(VLOOKUP(D64,FBA地址记录!A:B,2,0),"否")</f>
        <v>否</v>
      </c>
      <c r="L64" s="33" t="s">
        <v>208</v>
      </c>
      <c r="M64" s="99" t="s">
        <v>209</v>
      </c>
      <c r="P64" s="100" t="e">
        <f>D64&amp;"："&amp;E64&amp;"箱-"&amp;H64&amp;"KG-"&amp;I64&amp;"方"</f>
        <v>#N/A</v>
      </c>
      <c r="Q64" t="str">
        <f>_xlfn.DISPIMG("ID_E93BAD842192408F9772E39790901A56",1)</f>
        <v>=DISPIMG("ID_E93BAD842192408F9772E39790901A56",1)</v>
      </c>
      <c r="R64">
        <v>48</v>
      </c>
      <c r="S64" s="3" t="e">
        <f>R64*H64</f>
        <v>#N/A</v>
      </c>
      <c r="T64" s="3">
        <f>R64-0.5</f>
        <v>47.5</v>
      </c>
      <c r="U64" s="3" t="e">
        <f>T64*H64</f>
        <v>#N/A</v>
      </c>
      <c r="V64" s="3">
        <f>T64-R64</f>
        <v>-0.5</v>
      </c>
      <c r="W64" s="3" t="e">
        <f>U64-S64</f>
        <v>#N/A</v>
      </c>
    </row>
    <row r="65" ht="43.35" spans="1:23">
      <c r="A65" s="102">
        <v>45385</v>
      </c>
      <c r="B65" s="79" t="s">
        <v>211</v>
      </c>
      <c r="C65" s="79" t="s">
        <v>207</v>
      </c>
      <c r="D65" s="103" t="s">
        <v>141</v>
      </c>
      <c r="E65" s="3" t="e">
        <f t="array" ref="E65">INDEX($D:$D,MATCH(1,($B:$B=C65)*($C:$C=D65),0))</f>
        <v>#N/A</v>
      </c>
      <c r="F65" s="3" t="e">
        <f t="array" ref="F65">INDEX($E:$E,MATCH(1,($B:$B=C65)*($C:$C=D65),0))</f>
        <v>#N/A</v>
      </c>
      <c r="G65" s="3" t="e">
        <f t="array" ref="G65">INDEX($F:$F,MATCH(1,($B:$B=C65)*($C:$C=D65),0))</f>
        <v>#N/A</v>
      </c>
      <c r="H65" s="3" t="e">
        <f>IF(MAX(F65:G65)=0,0,IF(MAX(F65:G65)&lt;21,21,IF(F65&gt;G65,ROUNDUP(F65,0),IFERROR(_xlfn.IFS(B65&amp;C65&amp;L65="US空运速十",ROUNDUP((F65+G65)*0.5,0),B65&amp;C65&amp;L65="US空运原飞航",ROUNDUP((F65+G65)*0.5,0),B65&amp;C65&amp;L65="US空运美通",ROUNDUP((F65+G65)*0.5,0),B65&amp;C65&amp;L65="UK空运美通",ROUNDUP((F65+G65)*0.5,0),B65&amp;C65&amp;L621="DE空运美通",ROUNDUP((F65+G65)*0.5,0)),ROUNDUP(MAX(F65:G65),0)))))</f>
        <v>#N/A</v>
      </c>
      <c r="I65" s="3" t="e">
        <f t="array" ref="I65">INDEX($G:$G,MATCH(1,($B:$B=C65)*($C:$C=D65),0))</f>
        <v>#N/A</v>
      </c>
      <c r="J65" s="3" t="str">
        <f>VLOOKUP(D65,FBA地址记录!A:C,3,0)</f>
        <v>CV5 9PF</v>
      </c>
      <c r="K65" s="3" t="str">
        <f>IFERROR(VLOOKUP(D65,FBA地址记录!A:B,2,0),"否")</f>
        <v>否</v>
      </c>
      <c r="L65" s="33" t="s">
        <v>208</v>
      </c>
      <c r="M65" s="99" t="s">
        <v>212</v>
      </c>
      <c r="P65" s="100" t="e">
        <f>D65&amp;"："&amp;E65&amp;"箱-"&amp;H65&amp;"KG-"&amp;I65&amp;"方"</f>
        <v>#N/A</v>
      </c>
      <c r="Q65" t="str">
        <f>_xlfn.DISPIMG("ID_DB9D8FBEF2BE445EA9E87677451C23FF",1)</f>
        <v>=DISPIMG("ID_DB9D8FBEF2BE445EA9E87677451C23FF",1)</v>
      </c>
      <c r="R65">
        <v>41.5</v>
      </c>
      <c r="S65" s="3" t="e">
        <f>R65*H65</f>
        <v>#N/A</v>
      </c>
      <c r="T65" s="3">
        <f>R65-0.5</f>
        <v>41</v>
      </c>
      <c r="U65" s="3" t="e">
        <f>T65*H65</f>
        <v>#N/A</v>
      </c>
      <c r="V65" s="3">
        <f>T65-R65</f>
        <v>-0.5</v>
      </c>
      <c r="W65" s="3" t="e">
        <f>U65-S65</f>
        <v>#N/A</v>
      </c>
    </row>
    <row r="66" spans="1:23">
      <c r="P66" s="100"/>
      <c r="S66" s="3"/>
      <c r="T66" s="3"/>
      <c r="U66" s="3"/>
      <c r="V66" s="3"/>
      <c r="W66" s="3">
        <f>U66-S66</f>
        <v>0</v>
      </c>
    </row>
    <row r="67" ht="38.95" spans="1:23">
      <c r="A67" s="102">
        <v>45385</v>
      </c>
      <c r="B67" s="79" t="s">
        <v>206</v>
      </c>
      <c r="C67" s="79" t="s">
        <v>207</v>
      </c>
      <c r="D67" s="103" t="s">
        <v>130</v>
      </c>
      <c r="E67" s="3" t="e">
        <f t="array" ref="E67">INDEX($D:$D,MATCH(1,($B:$B=C67)*($C:$C=D67),0))</f>
        <v>#N/A</v>
      </c>
      <c r="F67" s="3" t="e">
        <f t="array" ref="F67">INDEX($E:$E,MATCH(1,($B:$B=C67)*($C:$C=D67),0))</f>
        <v>#N/A</v>
      </c>
      <c r="G67" s="3" t="e">
        <f t="array" ref="G67">INDEX($F:$F,MATCH(1,($B:$B=C67)*($C:$C=D67),0))</f>
        <v>#N/A</v>
      </c>
      <c r="H67" s="3" t="e">
        <f>IF(MAX(F67:G67)=0,0,IF(MAX(F67:G67)&lt;21,21,IF(F67&gt;G67,ROUNDUP(F67,0),IFERROR(_xlfn.IFS(B67&amp;C67&amp;L67="US空运速十",ROUNDUP((F67+G67)*0.5,0),B67&amp;C67&amp;L67="US空运原飞航",ROUNDUP((F67+G67)*0.5,0),B67&amp;C67&amp;L67="US空运美通",ROUNDUP((F67+G67)*0.5,0),B67&amp;C67&amp;L67="UK空运美通",ROUNDUP((F67+G67)*0.5,0),B67&amp;C67&amp;L623="DE空运美通",ROUNDUP((F67+G67)*0.5,0)),ROUNDUP(MAX(F67:G67),0)))))</f>
        <v>#N/A</v>
      </c>
      <c r="I67" s="3" t="e">
        <f t="array" ref="I67">INDEX($G:$G,MATCH(1,($B:$B=C67)*($C:$C=D67),0))</f>
        <v>#N/A</v>
      </c>
      <c r="J67" s="175" t="str">
        <f>VLOOKUP(D67,FBA地址记录!A:C,3,0)</f>
        <v>06126</v>
      </c>
      <c r="K67" s="3" t="str">
        <f>IFERROR(VLOOKUP(D67,FBA地址记录!A:B,2,0),"否")</f>
        <v>否</v>
      </c>
      <c r="L67" s="33" t="s">
        <v>208</v>
      </c>
      <c r="M67" s="99" t="s">
        <v>209</v>
      </c>
      <c r="P67" s="100" t="e">
        <f>D67&amp;"："&amp;E67&amp;"箱-"&amp;H67&amp;"KG-"&amp;I67&amp;"方"</f>
        <v>#N/A</v>
      </c>
      <c r="Q67" t="str">
        <f>_xlfn.DISPIMG("ID_C70CC3B3F41341FE9648A6B1D8F827F8",1)</f>
        <v>=DISPIMG("ID_C70CC3B3F41341FE9648A6B1D8F827F8",1)</v>
      </c>
      <c r="R67">
        <v>48</v>
      </c>
      <c r="S67" s="3" t="e">
        <f>R67*H67</f>
        <v>#N/A</v>
      </c>
      <c r="T67" s="3">
        <f>R67-0.5</f>
        <v>47.5</v>
      </c>
      <c r="U67" s="3" t="e">
        <f>T67*H67</f>
        <v>#N/A</v>
      </c>
      <c r="V67" s="3">
        <f>T67-R67</f>
        <v>-0.5</v>
      </c>
      <c r="W67" s="3" t="e">
        <f>U67-S67</f>
        <v>#N/A</v>
      </c>
    </row>
    <row r="68" spans="1:23">
      <c r="A68" s="102"/>
      <c r="P68" s="100"/>
      <c r="S68" s="3"/>
      <c r="T68" s="3"/>
      <c r="U68" s="3"/>
      <c r="V68" s="3"/>
      <c r="W68" s="3"/>
    </row>
    <row r="69" spans="1:23">
      <c r="A69" s="102">
        <v>45385</v>
      </c>
      <c r="B69" s="79" t="s">
        <v>71</v>
      </c>
      <c r="C69" s="79" t="s">
        <v>207</v>
      </c>
      <c r="D69" s="79" t="s">
        <v>115</v>
      </c>
      <c r="E69" s="3" t="e">
        <f t="array" ref="E69">INDEX($D:$D,MATCH(1,($B:$B=C69)*($C:$C=D69),0))</f>
        <v>#N/A</v>
      </c>
      <c r="F69" s="3" t="e">
        <f t="array" ref="F69">INDEX($E:$E,MATCH(1,($B:$B=C69)*($C:$C=D69),0))</f>
        <v>#N/A</v>
      </c>
      <c r="G69" s="3" t="e">
        <f t="array" ref="G69">INDEX($F:$F,MATCH(1,($B:$B=C69)*($C:$C=D69),0))</f>
        <v>#N/A</v>
      </c>
      <c r="H69" s="3" t="e">
        <f>IF(MAX(F69:G69)=0,0,IF(MAX(F69:G69)&lt;21,21,IF(F69&gt;G69,ROUNDUP(F69,0),IFERROR(_xlfn.IFS(B69&amp;C69&amp;L69="US空运速十",ROUNDUP((F69+G69)*0.5,0),B69&amp;C69&amp;L69="US空运原飞航",ROUNDUP((F69+G69)*0.5,0),B69&amp;C69&amp;L69="US空运美通",ROUNDUP((F69+G69)*0.5,0),B69&amp;C69&amp;L69="UK空运美通",ROUNDUP((F69+G69)*0.5,0),B69&amp;C69&amp;L625="DE空运美通",ROUNDUP((F69+G69)*0.5,0)),ROUNDUP(MAX(F69:G69),0)))))</f>
        <v>#N/A</v>
      </c>
      <c r="I69" s="3" t="e">
        <f t="array" ref="I69">INDEX($G:$G,MATCH(1,($B:$B=C69)*($C:$C=D69),0))</f>
        <v>#N/A</v>
      </c>
      <c r="J69" s="100" t="str">
        <f>VLOOKUP(D69,FBA地址记录!A:C,3,0)</f>
        <v>30517-3002</v>
      </c>
      <c r="K69" s="3" t="str">
        <f>IFERROR(VLOOKUP(D69,FBA地址记录!A:B,2,0),"否")</f>
        <v>否</v>
      </c>
      <c r="L69" s="79" t="s">
        <v>214</v>
      </c>
      <c r="M69" s="79" t="s">
        <v>215</v>
      </c>
      <c r="P69" s="100" t="e">
        <f>D69&amp;"："&amp;E69&amp;"箱-"&amp;H69&amp;"KG-"&amp;I69&amp;"方"</f>
        <v>#N/A</v>
      </c>
      <c r="R69">
        <v>50</v>
      </c>
      <c r="S69" s="3" t="e">
        <f>R69*H69</f>
        <v>#N/A</v>
      </c>
      <c r="T69" s="3"/>
      <c r="U69" s="3" t="e">
        <f>T69*H69</f>
        <v>#N/A</v>
      </c>
      <c r="V69" s="3">
        <f>T69-R69</f>
        <v>-50</v>
      </c>
      <c r="W69" s="3" t="e">
        <f>U69-S69</f>
        <v>#N/A</v>
      </c>
    </row>
    <row r="70" spans="1:23">
      <c r="E70" s="3"/>
      <c r="F70" s="3"/>
      <c r="G70" s="3"/>
      <c r="H70" s="3"/>
      <c r="I70" s="3"/>
      <c r="J70" s="100"/>
      <c r="K70" s="3"/>
      <c r="P70" s="100"/>
      <c r="S70" s="3"/>
      <c r="U70" s="3"/>
      <c r="V70" s="3"/>
      <c r="W70" s="3"/>
    </row>
    <row r="71" spans="1:23">
      <c r="A71" s="102">
        <v>45397</v>
      </c>
      <c r="B71" s="79" t="s">
        <v>216</v>
      </c>
      <c r="C71" s="79" t="s">
        <v>207</v>
      </c>
      <c r="D71" s="79" t="s">
        <v>132</v>
      </c>
      <c r="E71" s="3" t="e">
        <f t="array" ref="E71">INDEX($D:$D,MATCH(1,($B:$B=C71)*($C:$C=D71),0))</f>
        <v>#N/A</v>
      </c>
      <c r="F71" s="3" t="e">
        <f t="array" ref="F71">INDEX($E:$E,MATCH(1,($B:$B=C71)*($C:$C=D71),0))</f>
        <v>#N/A</v>
      </c>
      <c r="G71" s="3" t="e">
        <f t="array" ref="G71">INDEX($F:$F,MATCH(1,($B:$B=C71)*($C:$C=D71),0))</f>
        <v>#N/A</v>
      </c>
      <c r="H71" s="3" t="e">
        <f>IF(MAX(F71:G71)=0,0,IF(MAX(F71:G71)&lt;21,21,IF(F71&gt;G71,ROUNDUP(F71,0),IFERROR(_xlfn.IFS(B71&amp;C71&amp;L71="US空运速十",ROUNDUP((F71+G71)*0.5,0),B71&amp;C71&amp;L71="US空运原飞航",ROUNDUP((F71+G71)*0.5,0),B71&amp;C71&amp;L71="US空运美通",ROUNDUP((F71+G71)*0.5,0),B71&amp;C71&amp;L71="UK空运美通",ROUNDUP((F71+G71)*0.5,0),B71&amp;C71&amp;L627="DE空运美通",ROUNDUP((F71+G71)*0.5,0)),ROUNDUP(MAX(F71:G71),0)))))</f>
        <v>#N/A</v>
      </c>
      <c r="I71" s="3" t="e">
        <f t="array" ref="I71">INDEX($G:$G,MATCH(1,($B:$B=C71)*($C:$C=D71),0))</f>
        <v>#N/A</v>
      </c>
      <c r="J71" s="100" t="str">
        <f>VLOOKUP(D71,FBA地址记录!A:C,3,0)</f>
        <v>L7E 4L8</v>
      </c>
      <c r="K71" s="3" t="str">
        <f>IFERROR(VLOOKUP(D71,FBA地址记录!A:B,2,0),"否")</f>
        <v>否</v>
      </c>
      <c r="L71" s="79" t="s">
        <v>208</v>
      </c>
      <c r="M71" s="21" t="s">
        <v>217</v>
      </c>
      <c r="P71" s="100" t="e">
        <f>D71&amp;"："&amp;E71&amp;"箱-"&amp;H71&amp;"KG-"&amp;I71&amp;"方"</f>
        <v>#N/A</v>
      </c>
      <c r="R71" s="3">
        <v>50</v>
      </c>
      <c r="S71" s="3" t="e">
        <f>R71*H71</f>
        <v>#N/A</v>
      </c>
      <c r="T71" s="3"/>
      <c r="U71" s="3" t="e">
        <f>T71*H71</f>
        <v>#N/A</v>
      </c>
      <c r="V71" s="3">
        <f>T71-R71</f>
        <v>-50</v>
      </c>
      <c r="W71" s="3" t="e">
        <f>U71-S71</f>
        <v>#N/A</v>
      </c>
    </row>
    <row r="72" spans="1:23">
      <c r="A72" s="102">
        <v>45397</v>
      </c>
      <c r="B72" s="79" t="s">
        <v>216</v>
      </c>
      <c r="C72" s="79" t="s">
        <v>207</v>
      </c>
      <c r="D72" s="79" t="s">
        <v>132</v>
      </c>
      <c r="E72" s="3" t="e">
        <f t="array" ref="E72">INDEX($D:$D,MATCH(1,($B:$B=C72)*($C:$C=D72),0))</f>
        <v>#N/A</v>
      </c>
      <c r="F72" s="3" t="e">
        <f t="array" ref="F72">INDEX($E:$E,MATCH(1,($B:$B=C72)*($C:$C=D72),0))</f>
        <v>#N/A</v>
      </c>
      <c r="G72" s="3" t="e">
        <f t="array" ref="G72">INDEX($F:$F,MATCH(1,($B:$B=C72)*($C:$C=D72),0))</f>
        <v>#N/A</v>
      </c>
      <c r="H72" s="3" t="e">
        <f>IF(MAX(F72:G72)=0,0,IF(MAX(F72:G72)&lt;21,21,IF(F72&gt;G72,ROUNDUP(F72,0),IFERROR(_xlfn.IFS(B72&amp;C72&amp;L72="US空运速十",ROUNDUP((F72+G72)*0.5,0),B72&amp;C72&amp;L72="US空运原飞航",ROUNDUP((F72+G72)*0.5,0),B72&amp;C72&amp;L72="US空运美通",ROUNDUP((F72+G72)*0.5,0),B72&amp;C72&amp;L72="UK空运美通",ROUNDUP((F72+G72)*0.5,0),B72&amp;C72&amp;L628="DE空运美通",ROUNDUP((F72+G72)*0.5,0)),ROUNDUP(MAX(F72:G72),0)))))</f>
        <v>#N/A</v>
      </c>
      <c r="I72" s="3" t="e">
        <f t="array" ref="I72">INDEX($G:$G,MATCH(1,($B:$B=C72)*($C:$C=D72),0))</f>
        <v>#N/A</v>
      </c>
      <c r="J72" s="100" t="str">
        <f>VLOOKUP(D72,FBA地址记录!A:C,3,0)</f>
        <v>L7E 4L8</v>
      </c>
      <c r="K72" s="3" t="str">
        <f>IFERROR(VLOOKUP(D72,FBA地址记录!A:B,2,0),"否")</f>
        <v>否</v>
      </c>
      <c r="L72" s="79" t="s">
        <v>208</v>
      </c>
      <c r="M72" s="21" t="s">
        <v>218</v>
      </c>
      <c r="P72" s="100" t="e">
        <f>D72&amp;"："&amp;E72&amp;"箱-"&amp;H72&amp;"KG-"&amp;I72&amp;"方"</f>
        <v>#N/A</v>
      </c>
      <c r="R72" s="3">
        <v>53</v>
      </c>
      <c r="S72" s="3" t="e">
        <f>R72*H72</f>
        <v>#N/A</v>
      </c>
      <c r="T72" s="3"/>
      <c r="U72" s="3" t="e">
        <f>T72*H72</f>
        <v>#N/A</v>
      </c>
      <c r="V72" s="3">
        <f>T72-R72</f>
        <v>-53</v>
      </c>
      <c r="W72" s="3" t="e">
        <f>U72-S72</f>
        <v>#N/A</v>
      </c>
    </row>
    <row r="73" spans="1:23">
      <c r="A73" s="102">
        <v>45397</v>
      </c>
      <c r="B73" s="79" t="s">
        <v>216</v>
      </c>
      <c r="C73" s="79" t="s">
        <v>207</v>
      </c>
      <c r="D73" s="79" t="s">
        <v>132</v>
      </c>
      <c r="E73" s="3" t="e">
        <f t="array" ref="E73">INDEX($D:$D,MATCH(1,($B:$B=C73)*($C:$C=D73),0))</f>
        <v>#N/A</v>
      </c>
      <c r="F73" s="3" t="e">
        <f t="array" ref="F73">INDEX($E:$E,MATCH(1,($B:$B=C73)*($C:$C=D73),0))</f>
        <v>#N/A</v>
      </c>
      <c r="G73" s="3" t="e">
        <f t="array" ref="G73">INDEX($F:$F,MATCH(1,($B:$B=C73)*($C:$C=D73),0))</f>
        <v>#N/A</v>
      </c>
      <c r="H73" s="3" t="e">
        <f>IF(MAX(F73:G73)=0,0,IF(MAX(F73:G73)&lt;21,21,IF(F73&gt;G73,ROUNDUP(F73,0),IFERROR(_xlfn.IFS(B73&amp;C73&amp;L73="US空运速十",ROUNDUP((F73+G73)*0.5,0),B73&amp;C73&amp;L73="US空运原飞航",ROUNDUP((F73+G73)*0.5,0),B73&amp;C73&amp;L73="US空运美通",ROUNDUP((F73+G73)*0.5,0),B73&amp;C73&amp;L73="UK空运美通",ROUNDUP((F73+G73)*0.5,0),B73&amp;C73&amp;L629="DE空运美通",ROUNDUP((F73+G73)*0.5,0)),ROUNDUP(MAX(F73:G73),0)))))</f>
        <v>#N/A</v>
      </c>
      <c r="I73" s="3" t="e">
        <f t="array" ref="I73">INDEX($G:$G,MATCH(1,($B:$B=C73)*($C:$C=D73),0))</f>
        <v>#N/A</v>
      </c>
      <c r="J73" s="100" t="str">
        <f>VLOOKUP(D73,FBA地址记录!A:C,3,0)</f>
        <v>L7E 4L8</v>
      </c>
      <c r="K73" s="3" t="str">
        <f>IFERROR(VLOOKUP(D73,FBA地址记录!A:B,2,0),"否")</f>
        <v>否</v>
      </c>
      <c r="L73" s="79" t="s">
        <v>75</v>
      </c>
      <c r="M73" s="21" t="s">
        <v>219</v>
      </c>
      <c r="P73" s="100" t="e">
        <f>D73&amp;"："&amp;E73&amp;"箱-"&amp;H73&amp;"KG-"&amp;I73&amp;"方"</f>
        <v>#N/A</v>
      </c>
      <c r="R73" s="3">
        <v>54</v>
      </c>
      <c r="S73" s="3" t="e">
        <f>R73*H73</f>
        <v>#N/A</v>
      </c>
      <c r="T73" s="3"/>
      <c r="U73" s="3" t="e">
        <f>T73*H73</f>
        <v>#N/A</v>
      </c>
      <c r="V73" s="3">
        <f>T73-R73</f>
        <v>-54</v>
      </c>
      <c r="W73" s="3" t="e">
        <f>U73-S73</f>
        <v>#N/A</v>
      </c>
    </row>
    <row r="74" spans="1:23">
      <c r="A74" s="102">
        <v>45397</v>
      </c>
      <c r="B74" s="79" t="s">
        <v>216</v>
      </c>
      <c r="C74" s="79" t="s">
        <v>207</v>
      </c>
      <c r="D74" s="79" t="s">
        <v>132</v>
      </c>
      <c r="E74" s="3" t="e">
        <f t="array" ref="E74">INDEX($D:$D,MATCH(1,($B:$B=C74)*($C:$C=D74),0))</f>
        <v>#N/A</v>
      </c>
      <c r="F74" s="3" t="e">
        <f t="array" ref="F74">INDEX($E:$E,MATCH(1,($B:$B=C74)*($C:$C=D74),0))</f>
        <v>#N/A</v>
      </c>
      <c r="G74" s="3" t="e">
        <f t="array" ref="G74">INDEX($F:$F,MATCH(1,($B:$B=C74)*($C:$C=D74),0))</f>
        <v>#N/A</v>
      </c>
      <c r="H74" s="3" t="e">
        <f>IF(MAX(F74:G74)=0,0,IF(MAX(F74:G74)&lt;21,21,IF(F74&gt;G74,ROUNDUP(F74,0),IFERROR(_xlfn.IFS(B74&amp;C74&amp;L74="US空运速十",ROUNDUP((F74+G74)*0.5,0),B74&amp;C74&amp;L74="US空运原飞航",ROUNDUP((F74+G74)*0.5,0),B74&amp;C74&amp;L74="US空运美通",ROUNDUP((F74+G74)*0.5,0),B74&amp;C74&amp;L74="UK空运美通",ROUNDUP((F74+G74)*0.5,0),B74&amp;C74&amp;L630="DE空运美通",ROUNDUP((F74+G74)*0.5,0)),ROUNDUP(MAX(F74:G74),0)))))</f>
        <v>#N/A</v>
      </c>
      <c r="I74" s="3" t="e">
        <f t="array" ref="I74">INDEX($G:$G,MATCH(1,($B:$B=C74)*($C:$C=D74),0))</f>
        <v>#N/A</v>
      </c>
      <c r="J74" s="100" t="str">
        <f>VLOOKUP(D74,FBA地址记录!A:C,3,0)</f>
        <v>L7E 4L8</v>
      </c>
      <c r="K74" s="3" t="str">
        <f>IFERROR(VLOOKUP(D74,FBA地址记录!A:B,2,0),"否")</f>
        <v>否</v>
      </c>
      <c r="L74" s="79" t="s">
        <v>214</v>
      </c>
      <c r="M74" s="34" t="s">
        <v>220</v>
      </c>
      <c r="N74" s="79" t="s">
        <v>221</v>
      </c>
      <c r="P74" s="100" t="e">
        <f>D74&amp;"："&amp;E74&amp;"箱-"&amp;H74&amp;"KG-"&amp;I74&amp;"方"</f>
        <v>#N/A</v>
      </c>
      <c r="R74" s="3">
        <f>46.5+1</f>
        <v>47.5</v>
      </c>
      <c r="S74" s="3" t="e">
        <f>R74*H74</f>
        <v>#N/A</v>
      </c>
      <c r="T74" s="3">
        <f>R74-0.5</f>
        <v>47</v>
      </c>
      <c r="U74" s="3" t="e">
        <f>T74*H74</f>
        <v>#N/A</v>
      </c>
      <c r="V74" s="3">
        <f>T74-R74</f>
        <v>-0.5</v>
      </c>
      <c r="W74" s="3" t="e">
        <f>U74-S74</f>
        <v>#N/A</v>
      </c>
    </row>
    <row r="75" ht="27" spans="1:23">
      <c r="A75" s="102">
        <v>45397</v>
      </c>
      <c r="B75" s="79" t="s">
        <v>216</v>
      </c>
      <c r="C75" s="79" t="s">
        <v>207</v>
      </c>
      <c r="D75" s="79" t="s">
        <v>132</v>
      </c>
      <c r="E75" s="3" t="e">
        <f t="array" ref="E75">INDEX($D:$D,MATCH(1,($B:$B=C75)*($C:$C=D75),0))</f>
        <v>#N/A</v>
      </c>
      <c r="F75" s="3" t="e">
        <f t="array" ref="F75">INDEX($E:$E,MATCH(1,($B:$B=C75)*($C:$C=D75),0))</f>
        <v>#N/A</v>
      </c>
      <c r="G75" s="3" t="e">
        <f t="array" ref="G75">INDEX($F:$F,MATCH(1,($B:$B=C75)*($C:$C=D75),0))</f>
        <v>#N/A</v>
      </c>
      <c r="H75" s="3" t="e">
        <f>IF(MAX(F75:G75)=0,0,IF(MAX(F75:G75)&lt;21,21,IF(F75&gt;G75,ROUNDUP(F75,0),IFERROR(_xlfn.IFS(B75&amp;C75&amp;L75="US空运速十",ROUNDUP((F75+G75)*0.5,0),B75&amp;C75&amp;L75="US空运原飞航",ROUNDUP((F75+G75)*0.5,0),B75&amp;C75&amp;L75="US空运美通",ROUNDUP((F75+G75)*0.5,0),B75&amp;C75&amp;L75="UK空运美通",ROUNDUP((F75+G75)*0.5,0),B75&amp;C75&amp;L631="DE空运美通",ROUNDUP((F75+G75)*0.5,0)),ROUNDUP(MAX(F75:G75),0)))))</f>
        <v>#N/A</v>
      </c>
      <c r="I75" s="3" t="e">
        <f t="array" ref="I75">INDEX($G:$G,MATCH(1,($B:$B=C75)*($C:$C=D75),0))</f>
        <v>#N/A</v>
      </c>
      <c r="J75" s="100" t="str">
        <f>VLOOKUP(D75,FBA地址记录!A:C,3,0)</f>
        <v>L7E 4L8</v>
      </c>
      <c r="K75" s="3" t="str">
        <f>IFERROR(VLOOKUP(D75,FBA地址记录!A:B,2,0),"否")</f>
        <v>否</v>
      </c>
      <c r="L75" s="79" t="s">
        <v>222</v>
      </c>
      <c r="M75" s="34" t="s">
        <v>223</v>
      </c>
      <c r="P75" s="100" t="e">
        <f>D75&amp;"："&amp;E75&amp;"箱-"&amp;H75&amp;"KG-"&amp;I75&amp;"方"</f>
        <v>#N/A</v>
      </c>
      <c r="R75" s="3">
        <v>47</v>
      </c>
      <c r="S75" s="3" t="e">
        <f>R75*H75</f>
        <v>#N/A</v>
      </c>
      <c r="T75" s="3"/>
      <c r="U75" s="3" t="e">
        <f>T75*H75</f>
        <v>#N/A</v>
      </c>
      <c r="V75" s="3">
        <f>T75-R75</f>
        <v>-47</v>
      </c>
      <c r="W75" s="3" t="e">
        <f>U75-S75</f>
        <v>#N/A</v>
      </c>
    </row>
    <row r="76" spans="1:23">
      <c r="A76" s="102"/>
      <c r="B76" s="79"/>
      <c r="C76" s="79"/>
      <c r="D76" s="79"/>
      <c r="E76" s="3"/>
      <c r="F76" s="3"/>
      <c r="G76" s="3"/>
      <c r="H76" s="3"/>
      <c r="I76" s="3"/>
      <c r="J76" s="100"/>
      <c r="K76" s="3"/>
      <c r="L76" s="79"/>
      <c r="M76" s="34"/>
      <c r="P76" s="100"/>
      <c r="R76" s="3"/>
      <c r="S76" s="3"/>
      <c r="T76" s="3"/>
      <c r="U76" s="3"/>
      <c r="V76" s="3"/>
      <c r="W76" s="3"/>
    </row>
    <row r="77" ht="27" spans="1:23">
      <c r="A77" s="102">
        <v>45397</v>
      </c>
      <c r="B77" s="79" t="s">
        <v>216</v>
      </c>
      <c r="C77" s="79" t="s">
        <v>72</v>
      </c>
      <c r="D77" s="79" t="s">
        <v>132</v>
      </c>
      <c r="E77" s="3" t="e">
        <f t="array" ref="E77">INDEX($D:$D,MATCH(1,($B:$B=C77)*($C:$C=D77),0))</f>
        <v>#N/A</v>
      </c>
      <c r="F77" s="3" t="e">
        <f t="array" ref="F77">INDEX($E:$E,MATCH(1,($B:$B=C77)*($C:$C=D77),0))</f>
        <v>#N/A</v>
      </c>
      <c r="G77" s="3" t="e">
        <f t="array" ref="G77">INDEX($F:$F,MATCH(1,($B:$B=C77)*($C:$C=D77),0))</f>
        <v>#N/A</v>
      </c>
      <c r="H77" s="3" t="e">
        <f>IF(MAX(F77:G77)=0,0,IF(MAX(F77:G77)&lt;21,21,IF(F77&gt;G77,ROUNDUP(F77,0),IFERROR(_xlfn.IFS(B77&amp;C77&amp;L77="US空运速十",ROUNDUP((F77+G77)*0.5,0),B77&amp;C77&amp;L77="US空运原飞航",ROUNDUP((F77+G77)*0.5,0),B77&amp;C77&amp;L77="US空运美通",ROUNDUP((F77+G77)*0.5,0),B77&amp;C77&amp;L77="UK空运美通",ROUNDUP((F77+G77)*0.5,0),B77&amp;C77&amp;L632="DE空运美通",ROUNDUP((F77+G77)*0.5,0)),ROUNDUP(MAX(F77:G77),0)))))</f>
        <v>#N/A</v>
      </c>
      <c r="I77" s="3" t="e">
        <f t="array" ref="I77">INDEX($G:$G,MATCH(1,($B:$B=C77)*($C:$C=D77),0))</f>
        <v>#N/A</v>
      </c>
      <c r="J77" s="100" t="str">
        <f>VLOOKUP(D77,FBA地址记录!A:C,3,0)</f>
        <v>L7E 4L8</v>
      </c>
      <c r="K77" s="3" t="str">
        <f>IFERROR(VLOOKUP(D77,FBA地址记录!A:B,2,0),"否")</f>
        <v>否</v>
      </c>
      <c r="L77" s="79" t="s">
        <v>224</v>
      </c>
      <c r="M77" s="34" t="s">
        <v>225</v>
      </c>
      <c r="P77" s="100" t="e">
        <f>D77&amp;"："&amp;E77&amp;"箱-"&amp;H77&amp;"KG-"&amp;I77&amp;"方"</f>
        <v>#N/A</v>
      </c>
      <c r="R77" s="3">
        <v>30</v>
      </c>
      <c r="S77" s="3" t="e">
        <f>R77*H77</f>
        <v>#N/A</v>
      </c>
      <c r="T77" s="3">
        <v>30</v>
      </c>
      <c r="U77" s="3" t="e">
        <f>T77*H77</f>
        <v>#N/A</v>
      </c>
      <c r="V77" s="3">
        <f>T77-R77</f>
        <v>0</v>
      </c>
      <c r="W77" s="3" t="e">
        <f>U77-S77</f>
        <v>#N/A</v>
      </c>
    </row>
  </sheetData>
  <sheetProtection formatCells="0" insertHyperlinks="0" autoFilter="0"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0"/>
  <sheetViews>
    <sheetView topLeftCell="L1" workbookViewId="0">
      <pane ySplit="1" topLeftCell="A63" activePane="bottomLeft" state="frozen"/>
      <selection/>
      <selection pane="bottomLeft" activeCell="L77" sqref="$A1:$XFD1048576"/>
    </sheetView>
  </sheetViews>
  <sheetFormatPr defaultColWidth="8.725" defaultRowHeight="13.5"/>
  <cols>
    <col min="3" max="4" width="12.9083333333333" customWidth="1"/>
    <col min="6" max="6" width="19.6333333333333" customWidth="1"/>
    <col min="8" max="8" width="11.8166666666667" customWidth="1"/>
    <col min="9" max="9" width="29.8166666666667" customWidth="1"/>
    <col min="10" max="10" width="46.6333333333333" customWidth="1"/>
    <col min="11" max="11" width="25.275" customWidth="1"/>
    <col min="12" max="12" width="52.275" customWidth="1"/>
    <col min="14" max="14" width="11.8166666666667" customWidth="1"/>
  </cols>
  <sheetData>
    <row r="1" spans="1:14">
      <c r="A1" s="82" t="s">
        <v>9</v>
      </c>
      <c r="B1" t="s">
        <v>71</v>
      </c>
      <c r="C1" s="82" t="s">
        <v>10</v>
      </c>
      <c r="D1" t="s">
        <v>226</v>
      </c>
      <c r="E1" s="82" t="s">
        <v>11</v>
      </c>
      <c r="F1" t="s">
        <v>227</v>
      </c>
      <c r="G1" s="82" t="s">
        <v>12</v>
      </c>
      <c r="H1" t="s">
        <v>228</v>
      </c>
      <c r="I1" s="82" t="s">
        <v>37</v>
      </c>
      <c r="J1" t="s">
        <v>229</v>
      </c>
      <c r="K1" s="82" t="s">
        <v>40</v>
      </c>
      <c r="L1" s="83" t="s">
        <v>230</v>
      </c>
      <c r="M1" s="82" t="s">
        <v>36</v>
      </c>
      <c r="N1" t="s">
        <v>75</v>
      </c>
    </row>
    <row r="2" spans="1:14">
      <c r="B2" t="s">
        <v>216</v>
      </c>
      <c r="D2" t="s">
        <v>231</v>
      </c>
      <c r="F2" t="s">
        <v>232</v>
      </c>
      <c r="H2" t="s">
        <v>207</v>
      </c>
      <c r="J2" t="s">
        <v>233</v>
      </c>
      <c r="L2" s="83" t="s">
        <v>234</v>
      </c>
      <c r="N2" t="s">
        <v>224</v>
      </c>
    </row>
    <row r="3" spans="1:14">
      <c r="B3" t="s">
        <v>206</v>
      </c>
      <c r="D3" t="s">
        <v>235</v>
      </c>
      <c r="F3" t="s">
        <v>236</v>
      </c>
      <c r="H3" t="s">
        <v>72</v>
      </c>
      <c r="J3" t="s">
        <v>237</v>
      </c>
      <c r="L3" t="s">
        <v>238</v>
      </c>
      <c r="N3" t="s">
        <v>208</v>
      </c>
    </row>
    <row r="4" spans="1:14">
      <c r="B4" t="s">
        <v>211</v>
      </c>
      <c r="D4" t="s">
        <v>239</v>
      </c>
      <c r="F4" t="s">
        <v>240</v>
      </c>
      <c r="H4" t="s">
        <v>241</v>
      </c>
      <c r="J4" t="s">
        <v>242</v>
      </c>
      <c r="L4" t="s">
        <v>243</v>
      </c>
      <c r="N4" t="s">
        <v>222</v>
      </c>
    </row>
    <row r="5" spans="1:14">
      <c r="B5" t="s">
        <v>244</v>
      </c>
      <c r="D5" t="s">
        <v>245</v>
      </c>
      <c r="F5" t="s">
        <v>246</v>
      </c>
      <c r="H5" t="s">
        <v>237</v>
      </c>
      <c r="J5" t="s">
        <v>247</v>
      </c>
      <c r="L5" t="s">
        <v>248</v>
      </c>
      <c r="N5" t="s">
        <v>214</v>
      </c>
    </row>
    <row r="6" spans="1:14">
      <c r="D6" t="s">
        <v>249</v>
      </c>
      <c r="F6" t="s">
        <v>250</v>
      </c>
      <c r="H6" t="s">
        <v>251</v>
      </c>
      <c r="J6" t="s">
        <v>219</v>
      </c>
      <c r="L6" t="s">
        <v>252</v>
      </c>
      <c r="N6" t="s">
        <v>253</v>
      </c>
    </row>
    <row r="7" spans="1:14">
      <c r="D7" t="s">
        <v>254</v>
      </c>
      <c r="F7" t="s">
        <v>255</v>
      </c>
      <c r="H7" t="s">
        <v>256</v>
      </c>
      <c r="J7" t="s">
        <v>76</v>
      </c>
      <c r="L7" t="s">
        <v>257</v>
      </c>
      <c r="N7" t="s">
        <v>258</v>
      </c>
    </row>
    <row r="8" spans="1:14">
      <c r="D8" t="s">
        <v>259</v>
      </c>
      <c r="F8" t="s">
        <v>260</v>
      </c>
      <c r="J8" t="s">
        <v>261</v>
      </c>
      <c r="L8" t="s">
        <v>262</v>
      </c>
      <c r="N8" t="s">
        <v>263</v>
      </c>
    </row>
    <row r="9" spans="1:14">
      <c r="D9" t="s">
        <v>264</v>
      </c>
      <c r="F9" t="s">
        <v>265</v>
      </c>
      <c r="J9" t="s">
        <v>266</v>
      </c>
      <c r="L9" t="s">
        <v>267</v>
      </c>
      <c r="N9" t="s">
        <v>268</v>
      </c>
    </row>
    <row r="10" spans="1:14">
      <c r="D10" s="79" t="s">
        <v>269</v>
      </c>
      <c r="F10" t="s">
        <v>270</v>
      </c>
      <c r="J10" t="s">
        <v>271</v>
      </c>
      <c r="L10" t="s">
        <v>272</v>
      </c>
      <c r="N10" t="s">
        <v>251</v>
      </c>
    </row>
    <row r="11" spans="1:14">
      <c r="D11" s="79" t="s">
        <v>273</v>
      </c>
      <c r="F11" t="s">
        <v>274</v>
      </c>
      <c r="J11" t="s">
        <v>275</v>
      </c>
      <c r="L11" t="s">
        <v>276</v>
      </c>
      <c r="N11" t="s">
        <v>237</v>
      </c>
    </row>
    <row r="12" spans="1:14">
      <c r="F12" t="s">
        <v>277</v>
      </c>
      <c r="J12" t="s">
        <v>278</v>
      </c>
      <c r="L12" t="s">
        <v>279</v>
      </c>
    </row>
    <row r="13" spans="1:14">
      <c r="F13" t="s">
        <v>280</v>
      </c>
      <c r="J13" t="s">
        <v>281</v>
      </c>
      <c r="L13" t="s">
        <v>282</v>
      </c>
    </row>
    <row r="14" spans="1:14">
      <c r="F14" t="s">
        <v>283</v>
      </c>
      <c r="J14" t="s">
        <v>284</v>
      </c>
      <c r="L14" t="s">
        <v>285</v>
      </c>
    </row>
    <row r="15" spans="1:14">
      <c r="F15" t="s">
        <v>286</v>
      </c>
      <c r="J15" t="s">
        <v>287</v>
      </c>
      <c r="L15" s="4" t="s">
        <v>288</v>
      </c>
    </row>
    <row r="16" spans="1:14">
      <c r="F16" t="s">
        <v>289</v>
      </c>
      <c r="J16" t="s">
        <v>290</v>
      </c>
      <c r="L16" t="s">
        <v>291</v>
      </c>
    </row>
    <row r="17" spans="6:12">
      <c r="F17" t="s">
        <v>292</v>
      </c>
      <c r="J17" t="s">
        <v>293</v>
      </c>
      <c r="L17" t="s">
        <v>294</v>
      </c>
    </row>
    <row r="18" spans="6:12">
      <c r="F18" t="s">
        <v>295</v>
      </c>
      <c r="J18" t="s">
        <v>296</v>
      </c>
      <c r="L18" s="84" t="s">
        <v>297</v>
      </c>
    </row>
    <row r="19" spans="6:12">
      <c r="F19" t="s">
        <v>298</v>
      </c>
      <c r="J19" t="s">
        <v>299</v>
      </c>
      <c r="L19" t="s">
        <v>300</v>
      </c>
    </row>
    <row r="20" spans="6:12">
      <c r="F20" t="s">
        <v>301</v>
      </c>
      <c r="J20" t="s">
        <v>302</v>
      </c>
      <c r="L20" t="s">
        <v>303</v>
      </c>
    </row>
    <row r="21" spans="6:12">
      <c r="F21" t="s">
        <v>304</v>
      </c>
      <c r="J21" t="s">
        <v>305</v>
      </c>
      <c r="L21" t="s">
        <v>306</v>
      </c>
    </row>
    <row r="22" spans="6:12">
      <c r="F22" t="s">
        <v>307</v>
      </c>
      <c r="J22" t="s">
        <v>308</v>
      </c>
      <c r="L22" t="s">
        <v>309</v>
      </c>
    </row>
    <row r="23" spans="6:12">
      <c r="F23" t="s">
        <v>310</v>
      </c>
      <c r="J23" t="s">
        <v>217</v>
      </c>
      <c r="L23" t="s">
        <v>311</v>
      </c>
    </row>
    <row r="24" spans="6:12">
      <c r="F24" t="s">
        <v>312</v>
      </c>
      <c r="J24" t="s">
        <v>313</v>
      </c>
      <c r="L24" t="s">
        <v>314</v>
      </c>
    </row>
    <row r="25" spans="6:12">
      <c r="F25" t="s">
        <v>315</v>
      </c>
      <c r="J25" t="s">
        <v>316</v>
      </c>
      <c r="L25" t="s">
        <v>317</v>
      </c>
    </row>
    <row r="26" spans="6:12">
      <c r="F26" t="s">
        <v>318</v>
      </c>
      <c r="J26" t="s">
        <v>319</v>
      </c>
      <c r="L26" t="s">
        <v>320</v>
      </c>
    </row>
    <row r="27" spans="6:12">
      <c r="F27" t="s">
        <v>245</v>
      </c>
      <c r="J27" t="s">
        <v>321</v>
      </c>
      <c r="L27" t="s">
        <v>322</v>
      </c>
    </row>
    <row r="28" spans="6:12">
      <c r="F28" t="s">
        <v>249</v>
      </c>
      <c r="J28" t="s">
        <v>209</v>
      </c>
      <c r="L28" t="s">
        <v>323</v>
      </c>
    </row>
    <row r="29" spans="6:12">
      <c r="F29" t="s">
        <v>254</v>
      </c>
      <c r="J29" t="s">
        <v>324</v>
      </c>
      <c r="L29" t="s">
        <v>325</v>
      </c>
    </row>
    <row r="30" spans="6:12">
      <c r="F30" t="s">
        <v>259</v>
      </c>
      <c r="J30" t="s">
        <v>326</v>
      </c>
      <c r="L30" t="s">
        <v>327</v>
      </c>
    </row>
    <row r="31" spans="6:12">
      <c r="F31" t="s">
        <v>264</v>
      </c>
      <c r="J31" t="s">
        <v>212</v>
      </c>
      <c r="L31" t="s">
        <v>328</v>
      </c>
    </row>
    <row r="32" spans="6:12">
      <c r="F32" s="79" t="s">
        <v>329</v>
      </c>
      <c r="J32" t="s">
        <v>330</v>
      </c>
      <c r="L32" t="s">
        <v>331</v>
      </c>
    </row>
    <row r="33" spans="10:12">
      <c r="J33" t="s">
        <v>332</v>
      </c>
      <c r="L33" t="s">
        <v>333</v>
      </c>
    </row>
    <row r="34" spans="10:12">
      <c r="J34" t="s">
        <v>334</v>
      </c>
      <c r="L34" t="s">
        <v>335</v>
      </c>
    </row>
    <row r="35" spans="10:12">
      <c r="J35" t="s">
        <v>225</v>
      </c>
      <c r="L35" t="s">
        <v>336</v>
      </c>
    </row>
    <row r="36" spans="10:12">
      <c r="J36" t="s">
        <v>337</v>
      </c>
      <c r="L36" t="s">
        <v>338</v>
      </c>
    </row>
    <row r="37" spans="10:12">
      <c r="J37" t="s">
        <v>339</v>
      </c>
      <c r="L37" t="s">
        <v>340</v>
      </c>
    </row>
    <row r="38" spans="10:12">
      <c r="J38" t="s">
        <v>341</v>
      </c>
      <c r="L38" t="s">
        <v>342</v>
      </c>
    </row>
    <row r="39" spans="10:12">
      <c r="J39" t="s">
        <v>343</v>
      </c>
      <c r="L39" t="s">
        <v>344</v>
      </c>
    </row>
    <row r="40" spans="10:12">
      <c r="J40" t="s">
        <v>345</v>
      </c>
      <c r="L40" t="s">
        <v>346</v>
      </c>
    </row>
    <row r="41" spans="10:12">
      <c r="J41" t="s">
        <v>347</v>
      </c>
      <c r="L41" t="s">
        <v>348</v>
      </c>
    </row>
    <row r="42" spans="10:12">
      <c r="J42" t="s">
        <v>349</v>
      </c>
      <c r="L42" t="s">
        <v>350</v>
      </c>
    </row>
    <row r="43" spans="10:12">
      <c r="J43" s="79" t="s">
        <v>263</v>
      </c>
      <c r="L43" s="79" t="s">
        <v>228</v>
      </c>
    </row>
    <row r="44" spans="10:12">
      <c r="J44" s="79" t="s">
        <v>351</v>
      </c>
      <c r="L44" s="79" t="s">
        <v>352</v>
      </c>
    </row>
    <row r="45" spans="10:12">
      <c r="J45" s="79" t="s">
        <v>353</v>
      </c>
      <c r="L45" s="79" t="s">
        <v>335</v>
      </c>
    </row>
    <row r="46" spans="10:12">
      <c r="J46" s="79" t="s">
        <v>354</v>
      </c>
      <c r="L46" s="79" t="s">
        <v>355</v>
      </c>
    </row>
    <row r="47" spans="10:12">
      <c r="J47" s="79" t="s">
        <v>356</v>
      </c>
      <c r="L47" s="79" t="s">
        <v>357</v>
      </c>
    </row>
    <row r="48" spans="10:12">
      <c r="J48" s="80" t="s">
        <v>358</v>
      </c>
      <c r="K48" s="85"/>
      <c r="L48" s="80" t="s">
        <v>359</v>
      </c>
    </row>
    <row r="49" spans="10:12">
      <c r="J49" s="79" t="s">
        <v>360</v>
      </c>
      <c r="L49" t="s">
        <v>342</v>
      </c>
    </row>
    <row r="50" spans="10:12">
      <c r="J50" s="79" t="s">
        <v>361</v>
      </c>
      <c r="L50" s="79" t="s">
        <v>362</v>
      </c>
    </row>
    <row r="51" spans="10:12">
      <c r="J51" s="79" t="s">
        <v>363</v>
      </c>
      <c r="L51" s="79" t="s">
        <v>364</v>
      </c>
    </row>
    <row r="52" spans="10:12">
      <c r="J52" s="79" t="s">
        <v>365</v>
      </c>
      <c r="L52" s="79" t="s">
        <v>366</v>
      </c>
    </row>
    <row r="53" spans="10:12">
      <c r="J53" s="79" t="s">
        <v>367</v>
      </c>
      <c r="L53" s="79" t="s">
        <v>368</v>
      </c>
    </row>
    <row r="54" spans="10:12">
      <c r="J54" s="79" t="s">
        <v>369</v>
      </c>
      <c r="L54" s="79" t="s">
        <v>370</v>
      </c>
    </row>
    <row r="55" spans="10:12">
      <c r="J55" t="s">
        <v>371</v>
      </c>
      <c r="L55" s="79" t="s">
        <v>372</v>
      </c>
    </row>
    <row r="56" spans="10:12">
      <c r="J56" s="79" t="s">
        <v>373</v>
      </c>
      <c r="L56" s="79" t="s">
        <v>374</v>
      </c>
    </row>
    <row r="57" spans="10:12">
      <c r="J57" t="s">
        <v>375</v>
      </c>
      <c r="L57" s="79" t="s">
        <v>376</v>
      </c>
    </row>
    <row r="58" spans="10:12">
      <c r="J58" s="79" t="s">
        <v>377</v>
      </c>
      <c r="L58" s="79" t="s">
        <v>378</v>
      </c>
    </row>
    <row r="59" spans="10:12">
      <c r="J59" s="79" t="s">
        <v>379</v>
      </c>
      <c r="L59" s="86" t="s">
        <v>380</v>
      </c>
    </row>
    <row r="60" spans="10:12">
      <c r="J60" s="79" t="s">
        <v>223</v>
      </c>
      <c r="L60" s="79" t="s">
        <v>348</v>
      </c>
    </row>
    <row r="61" spans="10:12">
      <c r="J61" s="79" t="s">
        <v>381</v>
      </c>
      <c r="L61" s="79" t="s">
        <v>382</v>
      </c>
    </row>
    <row r="62" spans="10:12">
      <c r="J62" s="81" t="s">
        <v>383</v>
      </c>
      <c r="L62" s="79" t="s">
        <v>355</v>
      </c>
    </row>
    <row r="63" spans="10:12">
      <c r="J63" s="79" t="s">
        <v>384</v>
      </c>
      <c r="L63" s="79" t="s">
        <v>385</v>
      </c>
    </row>
    <row r="64" spans="10:12">
      <c r="J64" t="s">
        <v>215</v>
      </c>
      <c r="L64" s="79" t="s">
        <v>386</v>
      </c>
    </row>
    <row r="65" spans="10:12">
      <c r="J65" s="79" t="s">
        <v>387</v>
      </c>
      <c r="L65" s="79" t="s">
        <v>388</v>
      </c>
    </row>
    <row r="66" spans="10:12">
      <c r="J66" t="s">
        <v>389</v>
      </c>
    </row>
    <row r="67" spans="10:12">
      <c r="J67" t="s">
        <v>220</v>
      </c>
    </row>
    <row r="68" spans="10:12">
      <c r="J68" t="s">
        <v>390</v>
      </c>
    </row>
    <row r="69" spans="10:12">
      <c r="J69" s="79" t="s">
        <v>391</v>
      </c>
      <c r="L69" t="s">
        <v>338</v>
      </c>
    </row>
    <row r="70" spans="10:12">
      <c r="J70" t="s">
        <v>392</v>
      </c>
    </row>
    <row r="71" spans="10:12">
      <c r="J71" t="s">
        <v>393</v>
      </c>
    </row>
    <row r="72" spans="10:12">
      <c r="J72" t="s">
        <v>394</v>
      </c>
    </row>
    <row r="73" spans="10:12">
      <c r="J73" t="s">
        <v>395</v>
      </c>
    </row>
    <row r="74" spans="10:12">
      <c r="J74" s="79" t="s">
        <v>381</v>
      </c>
      <c r="L74" s="79" t="s">
        <v>382</v>
      </c>
    </row>
    <row r="75" spans="10:12">
      <c r="J75" t="s">
        <v>396</v>
      </c>
    </row>
    <row r="76" spans="10:12">
      <c r="J76" s="79" t="s">
        <v>397</v>
      </c>
    </row>
    <row r="77" spans="10:12">
      <c r="J77" s="79" t="s">
        <v>398</v>
      </c>
      <c r="L77" s="79" t="s">
        <v>399</v>
      </c>
    </row>
    <row r="78" spans="10:12">
      <c r="J78" s="79" t="s">
        <v>400</v>
      </c>
      <c r="L78" s="79" t="s">
        <v>399</v>
      </c>
    </row>
    <row r="80" spans="10:12">
      <c r="J80" s="79" t="s">
        <v>401</v>
      </c>
    </row>
  </sheetData>
  <sheetProtection formatCells="0" insertHyperlinks="0" autoFilter="0"/>
  <pageMargins left="0.75" right="0.75" top="1" bottom="1" header="0.5" footer="0.5"/>
  <headerFooter/>
  <drawing r:id="rId1"/>
  <legacyDrawing r:id="rId2"/>
  <controls>
    <mc:AlternateContent xmlns:mc="http://schemas.openxmlformats.org/markup-compatibility/2006">
      <mc:Choice Requires="x14">
        <control shapeId="3073" r:id="rId3">
          <controlPr defaultSize="0">
            <anchor moveWithCells="1">
              <from>
                <xdr:col>11</xdr:col>
                <xdr:colOff>0</xdr:colOff>
                <xdr:row>58</xdr:row>
                <xdr:rowOff>0</xdr:rowOff>
              </from>
              <to>
                <xdr:col>11</xdr:col>
                <xdr:colOff>1925955</xdr:colOff>
                <xdr:row>59</xdr:row>
                <xdr:rowOff>0</xdr:rowOff>
              </to>
            </anchor>
          </controlPr>
        </control>
      </mc:Choice>
      <mc:Fallback>
        <control shapeId="3073" r:id="rId3"/>
      </mc:Fallback>
    </mc:AlternateContent>
  </control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5"/>
  <sheetViews>
    <sheetView workbookViewId="0">
      <pane xSplit="5" ySplit="1" topLeftCell="F2" activePane="bottomRight" state="frozen"/>
      <selection/>
      <selection pane="topRight"/>
      <selection pane="bottomLeft"/>
      <selection pane="bottomRight" activeCell="N333" sqref="N333:P333"/>
    </sheetView>
  </sheetViews>
  <sheetFormatPr defaultColWidth="8.8" defaultRowHeight="13.5"/>
  <cols>
    <col min="1" max="1" width="9" style="3"/>
    <col min="2" max="2" width="12.1333333333333" style="3" customWidth="1"/>
    <col min="3" max="3" width="18.6416666666667" style="3" customWidth="1"/>
    <col min="4" max="4" width="10.8833333333333" style="3" customWidth="1"/>
    <col min="5" max="5" width="46.6333333333333" customWidth="1"/>
    <col min="6" max="6" width="34.3833333333333" style="4" customWidth="1"/>
    <col min="7" max="7" width="30.7333333333333" style="5" customWidth="1"/>
    <col min="8" max="8" width="25.6916666666667" customWidth="1"/>
    <col min="9" max="9" width="52.275" customWidth="1"/>
  </cols>
  <sheetData>
    <row r="1" s="1" customFormat="1" spans="1:9">
      <c r="A1" s="6" t="s">
        <v>9</v>
      </c>
      <c r="B1" s="6" t="s">
        <v>12</v>
      </c>
      <c r="C1" s="6" t="s">
        <v>402</v>
      </c>
      <c r="D1" s="6" t="s">
        <v>36</v>
      </c>
      <c r="E1" s="6" t="s">
        <v>403</v>
      </c>
      <c r="F1" s="7" t="s">
        <v>66</v>
      </c>
      <c r="G1" s="7" t="s">
        <v>404</v>
      </c>
      <c r="H1" s="8" t="s">
        <v>405</v>
      </c>
      <c r="I1" s="9" t="s">
        <v>406</v>
      </c>
    </row>
    <row r="2" spans="1:9">
      <c r="A2" s="10" t="s">
        <v>71</v>
      </c>
      <c r="B2" s="11" t="s">
        <v>207</v>
      </c>
      <c r="C2" s="10" t="s">
        <v>407</v>
      </c>
      <c r="D2" s="12" t="s">
        <v>208</v>
      </c>
      <c r="E2" s="13" t="s">
        <v>313</v>
      </c>
      <c r="F2" s="14" t="s">
        <v>408</v>
      </c>
      <c r="G2" s="15" t="s">
        <v>409</v>
      </c>
      <c r="H2" s="16"/>
      <c r="I2" s="16" t="s">
        <v>314</v>
      </c>
    </row>
    <row r="3" spans="1:9">
      <c r="A3" s="10"/>
      <c r="B3" s="17"/>
      <c r="C3" s="10"/>
      <c r="D3" s="18" t="s">
        <v>208</v>
      </c>
      <c r="E3" s="13" t="s">
        <v>316</v>
      </c>
      <c r="F3" s="15" t="s">
        <v>408</v>
      </c>
      <c r="G3" s="15" t="s">
        <v>409</v>
      </c>
      <c r="H3" s="19"/>
      <c r="I3" s="19" t="s">
        <v>317</v>
      </c>
    </row>
    <row r="4" spans="1:9">
      <c r="A4" s="10"/>
      <c r="B4" s="17"/>
      <c r="C4" s="10"/>
      <c r="D4" s="18" t="s">
        <v>75</v>
      </c>
      <c r="E4" s="13" t="s">
        <v>271</v>
      </c>
      <c r="F4" s="15"/>
      <c r="G4" s="15" t="s">
        <v>409</v>
      </c>
      <c r="H4" s="20"/>
      <c r="I4" s="19" t="s">
        <v>276</v>
      </c>
    </row>
    <row r="5" spans="1:9">
      <c r="A5" s="10"/>
      <c r="B5" s="17"/>
      <c r="C5" s="10"/>
      <c r="D5" s="18" t="s">
        <v>224</v>
      </c>
      <c r="E5" s="21" t="s">
        <v>345</v>
      </c>
      <c r="F5" s="15"/>
      <c r="G5" s="15" t="s">
        <v>409</v>
      </c>
      <c r="H5" s="22"/>
      <c r="I5" s="19" t="s">
        <v>346</v>
      </c>
    </row>
    <row r="6" ht="40.5" spans="1:9">
      <c r="A6" s="10"/>
      <c r="B6" s="17"/>
      <c r="C6" s="10"/>
      <c r="D6" s="18" t="s">
        <v>214</v>
      </c>
      <c r="E6" s="21" t="s">
        <v>215</v>
      </c>
      <c r="F6" s="15" t="s">
        <v>410</v>
      </c>
      <c r="G6" s="15"/>
      <c r="H6" s="20" t="s">
        <v>411</v>
      </c>
      <c r="I6" s="20" t="s">
        <v>386</v>
      </c>
    </row>
    <row r="7" s="2" customFormat="1" ht="21" customHeight="1" spans="1:9">
      <c r="A7" s="10"/>
      <c r="B7" s="17"/>
      <c r="C7" s="10"/>
      <c r="D7" s="18" t="s">
        <v>222</v>
      </c>
      <c r="E7" s="21" t="s">
        <v>358</v>
      </c>
      <c r="F7" s="15" t="s">
        <v>412</v>
      </c>
      <c r="G7" s="15"/>
      <c r="H7" s="20" t="s">
        <v>413</v>
      </c>
      <c r="I7" s="19" t="s">
        <v>359</v>
      </c>
    </row>
    <row r="8" ht="27" spans="1:9">
      <c r="A8" s="10"/>
      <c r="B8" s="17"/>
      <c r="C8" s="10"/>
      <c r="D8" s="18"/>
      <c r="E8" s="23" t="s">
        <v>414</v>
      </c>
      <c r="F8" s="24" t="s">
        <v>415</v>
      </c>
      <c r="G8" s="24"/>
      <c r="H8" s="20" t="s">
        <v>413</v>
      </c>
      <c r="I8" s="19"/>
    </row>
    <row r="9" ht="27" spans="1:9">
      <c r="A9" s="10"/>
      <c r="B9" s="25"/>
      <c r="C9" s="10"/>
      <c r="D9" s="26"/>
      <c r="E9" s="27" t="s">
        <v>416</v>
      </c>
      <c r="F9" s="28" t="s">
        <v>417</v>
      </c>
      <c r="G9" s="28"/>
      <c r="H9" s="29" t="s">
        <v>413</v>
      </c>
      <c r="I9" s="30"/>
    </row>
    <row r="10" spans="1:9">
      <c r="A10" s="18" t="s">
        <v>216</v>
      </c>
      <c r="B10" s="31" t="s">
        <v>207</v>
      </c>
      <c r="C10" s="18" t="s">
        <v>418</v>
      </c>
      <c r="D10" s="32" t="s">
        <v>208</v>
      </c>
      <c r="E10" s="21" t="s">
        <v>217</v>
      </c>
      <c r="F10" s="15" t="s">
        <v>419</v>
      </c>
      <c r="G10" s="15" t="s">
        <v>409</v>
      </c>
      <c r="H10" s="20" t="s">
        <v>420</v>
      </c>
      <c r="I10" s="19" t="s">
        <v>311</v>
      </c>
    </row>
    <row r="11" spans="1:9">
      <c r="A11" s="33"/>
      <c r="B11" s="31"/>
      <c r="C11" s="33"/>
      <c r="D11" s="32" t="s">
        <v>208</v>
      </c>
      <c r="E11" s="21" t="s">
        <v>218</v>
      </c>
      <c r="F11" s="15" t="s">
        <v>419</v>
      </c>
      <c r="G11" s="15" t="s">
        <v>409</v>
      </c>
      <c r="H11" s="20" t="s">
        <v>420</v>
      </c>
      <c r="I11" s="19"/>
    </row>
    <row r="12" ht="21.75" customHeight="1" spans="1:9">
      <c r="A12" s="33" t="s">
        <v>216</v>
      </c>
      <c r="B12" s="31" t="s">
        <v>207</v>
      </c>
      <c r="C12" s="33"/>
      <c r="D12" s="32" t="s">
        <v>75</v>
      </c>
      <c r="E12" s="21" t="s">
        <v>219</v>
      </c>
      <c r="F12" s="15" t="s">
        <v>421</v>
      </c>
      <c r="G12" s="15" t="s">
        <v>409</v>
      </c>
      <c r="H12" s="20" t="s">
        <v>411</v>
      </c>
      <c r="I12" s="19" t="s">
        <v>252</v>
      </c>
    </row>
    <row r="13" ht="67.5" spans="1:9">
      <c r="A13" s="33" t="s">
        <v>216</v>
      </c>
      <c r="B13" s="31" t="s">
        <v>207</v>
      </c>
      <c r="C13" s="33"/>
      <c r="D13" s="32" t="s">
        <v>214</v>
      </c>
      <c r="E13" s="34" t="s">
        <v>220</v>
      </c>
      <c r="F13" s="15" t="s">
        <v>422</v>
      </c>
      <c r="G13" s="15"/>
      <c r="H13" s="20" t="s">
        <v>411</v>
      </c>
      <c r="I13" s="20" t="s">
        <v>423</v>
      </c>
    </row>
    <row r="14" ht="24.6" customHeight="1" spans="1:9">
      <c r="A14" s="18" t="s">
        <v>216</v>
      </c>
      <c r="B14" s="31" t="s">
        <v>207</v>
      </c>
      <c r="C14" s="18"/>
      <c r="D14" s="35" t="s">
        <v>222</v>
      </c>
      <c r="E14" s="36" t="s">
        <v>424</v>
      </c>
      <c r="F14" s="37" t="s">
        <v>419</v>
      </c>
      <c r="G14" s="37"/>
      <c r="H14" s="29" t="s">
        <v>413</v>
      </c>
      <c r="I14" s="30" t="s">
        <v>348</v>
      </c>
    </row>
    <row r="15" spans="1:9">
      <c r="A15" s="38" t="s">
        <v>206</v>
      </c>
      <c r="B15" s="38" t="s">
        <v>207</v>
      </c>
      <c r="C15" s="11" t="s">
        <v>425</v>
      </c>
      <c r="D15" s="18" t="s">
        <v>208</v>
      </c>
      <c r="E15" s="39" t="s">
        <v>209</v>
      </c>
      <c r="F15" s="5"/>
      <c r="G15" s="15" t="s">
        <v>409</v>
      </c>
      <c r="H15" s="20"/>
      <c r="I15" s="19" t="s">
        <v>323</v>
      </c>
    </row>
    <row r="16" spans="1:9">
      <c r="A16" s="38"/>
      <c r="B16" s="38"/>
      <c r="C16" s="31"/>
      <c r="D16" s="18" t="s">
        <v>208</v>
      </c>
      <c r="E16" s="39" t="s">
        <v>397</v>
      </c>
      <c r="F16" s="15" t="s">
        <v>426</v>
      </c>
      <c r="G16" s="15" t="s">
        <v>409</v>
      </c>
      <c r="H16" s="20"/>
      <c r="I16" s="19"/>
    </row>
    <row r="17" spans="1:9">
      <c r="A17" s="38"/>
      <c r="B17" s="38"/>
      <c r="C17" s="40"/>
      <c r="D17" s="26" t="s">
        <v>208</v>
      </c>
      <c r="E17" s="41" t="s">
        <v>321</v>
      </c>
      <c r="F17" s="42"/>
      <c r="G17" s="37" t="s">
        <v>409</v>
      </c>
      <c r="H17" s="29"/>
      <c r="I17" s="30" t="s">
        <v>322</v>
      </c>
    </row>
    <row r="18" ht="23.1" customHeight="1" spans="1:9">
      <c r="A18" s="38"/>
      <c r="B18" s="38"/>
      <c r="C18" s="11" t="s">
        <v>427</v>
      </c>
      <c r="D18" s="18" t="s">
        <v>208</v>
      </c>
      <c r="E18" s="39" t="s">
        <v>428</v>
      </c>
      <c r="F18" s="15" t="s">
        <v>426</v>
      </c>
      <c r="G18" s="15" t="s">
        <v>409</v>
      </c>
      <c r="H18" s="20"/>
      <c r="I18" s="43"/>
    </row>
    <row r="19" ht="23.1" customHeight="1" spans="1:9">
      <c r="A19" s="38"/>
      <c r="B19" s="38"/>
      <c r="C19" s="40"/>
      <c r="D19" s="26" t="s">
        <v>208</v>
      </c>
      <c r="E19" s="41" t="s">
        <v>429</v>
      </c>
      <c r="F19" s="37"/>
      <c r="G19" s="37" t="s">
        <v>409</v>
      </c>
      <c r="H19" s="29"/>
      <c r="I19" s="44"/>
    </row>
    <row r="20" spans="1:9">
      <c r="A20" s="18" t="s">
        <v>211</v>
      </c>
      <c r="B20" s="31" t="s">
        <v>207</v>
      </c>
      <c r="C20" s="18" t="s">
        <v>430</v>
      </c>
      <c r="D20" s="32" t="s">
        <v>208</v>
      </c>
      <c r="E20" s="39" t="s">
        <v>212</v>
      </c>
      <c r="F20" s="15" t="s">
        <v>431</v>
      </c>
      <c r="G20" s="15" t="s">
        <v>409</v>
      </c>
      <c r="H20" s="20"/>
      <c r="I20" s="19" t="s">
        <v>328</v>
      </c>
    </row>
    <row r="21" ht="27" spans="1:9">
      <c r="A21" s="18"/>
      <c r="B21" s="31"/>
      <c r="C21" s="18"/>
      <c r="D21" s="32" t="s">
        <v>208</v>
      </c>
      <c r="E21" s="39" t="s">
        <v>212</v>
      </c>
      <c r="F21" s="15" t="s">
        <v>432</v>
      </c>
      <c r="G21" s="15" t="s">
        <v>409</v>
      </c>
      <c r="H21" s="20"/>
      <c r="I21" s="19"/>
    </row>
    <row r="22" spans="1:9">
      <c r="A22" s="26" t="s">
        <v>211</v>
      </c>
      <c r="B22" s="40" t="s">
        <v>207</v>
      </c>
      <c r="C22" s="26" t="s">
        <v>430</v>
      </c>
      <c r="D22" s="35" t="s">
        <v>208</v>
      </c>
      <c r="E22" s="41" t="s">
        <v>326</v>
      </c>
      <c r="F22" s="37" t="s">
        <v>431</v>
      </c>
      <c r="G22" s="37" t="s">
        <v>409</v>
      </c>
      <c r="H22" s="29"/>
      <c r="I22" s="30" t="s">
        <v>327</v>
      </c>
    </row>
    <row r="23" spans="1:9">
      <c r="A23" s="12" t="s">
        <v>71</v>
      </c>
      <c r="B23" s="31" t="s">
        <v>72</v>
      </c>
      <c r="C23" s="17" t="s">
        <v>433</v>
      </c>
      <c r="D23" s="32" t="s">
        <v>208</v>
      </c>
      <c r="E23" s="39" t="s">
        <v>351</v>
      </c>
      <c r="F23" s="15"/>
      <c r="G23" s="15" t="s">
        <v>409</v>
      </c>
      <c r="H23" s="20" t="s">
        <v>434</v>
      </c>
      <c r="I23" s="19" t="s">
        <v>352</v>
      </c>
    </row>
    <row r="24" spans="1:9">
      <c r="A24" s="33"/>
      <c r="B24" s="31"/>
      <c r="C24" s="31"/>
      <c r="D24" s="32" t="s">
        <v>75</v>
      </c>
      <c r="E24" s="39" t="s">
        <v>266</v>
      </c>
      <c r="F24" s="15"/>
      <c r="G24" s="15" t="s">
        <v>409</v>
      </c>
      <c r="H24" s="20" t="s">
        <v>411</v>
      </c>
      <c r="I24" s="19" t="s">
        <v>267</v>
      </c>
    </row>
    <row r="25" ht="27" spans="1:9">
      <c r="A25" s="33"/>
      <c r="B25" s="31"/>
      <c r="C25" s="31"/>
      <c r="D25" s="32" t="s">
        <v>224</v>
      </c>
      <c r="E25" s="39" t="s">
        <v>360</v>
      </c>
      <c r="F25" s="15"/>
      <c r="G25" s="15" t="s">
        <v>409</v>
      </c>
      <c r="H25" s="22" t="s">
        <v>435</v>
      </c>
      <c r="I25" s="19" t="s">
        <v>342</v>
      </c>
    </row>
    <row r="26" ht="27" spans="1:9">
      <c r="A26" s="33"/>
      <c r="B26" s="31"/>
      <c r="C26" s="31"/>
      <c r="D26" s="32" t="s">
        <v>224</v>
      </c>
      <c r="E26" s="39" t="s">
        <v>361</v>
      </c>
      <c r="F26" s="15"/>
      <c r="G26" s="15" t="s">
        <v>409</v>
      </c>
      <c r="H26" s="22" t="s">
        <v>435</v>
      </c>
      <c r="I26" s="19" t="s">
        <v>362</v>
      </c>
    </row>
    <row r="27" ht="27" spans="1:9">
      <c r="A27" s="33"/>
      <c r="B27" s="31"/>
      <c r="C27" s="40"/>
      <c r="D27" s="35" t="s">
        <v>224</v>
      </c>
      <c r="E27" s="41" t="s">
        <v>363</v>
      </c>
      <c r="F27" s="37"/>
      <c r="G27" s="37" t="s">
        <v>409</v>
      </c>
      <c r="H27" s="45" t="s">
        <v>435</v>
      </c>
      <c r="I27" s="30" t="s">
        <v>364</v>
      </c>
    </row>
    <row r="28" spans="1:9">
      <c r="A28" s="33"/>
      <c r="B28" s="31"/>
      <c r="C28" s="46" t="s">
        <v>436</v>
      </c>
      <c r="D28" s="32" t="s">
        <v>208</v>
      </c>
      <c r="E28" s="39" t="s">
        <v>437</v>
      </c>
      <c r="F28" s="15" t="s">
        <v>438</v>
      </c>
      <c r="G28" s="15" t="s">
        <v>409</v>
      </c>
      <c r="H28" s="20" t="s">
        <v>434</v>
      </c>
      <c r="I28" s="20" t="s">
        <v>372</v>
      </c>
    </row>
    <row r="29" ht="27" spans="1:9">
      <c r="A29" s="33"/>
      <c r="B29" s="31"/>
      <c r="C29" s="32"/>
      <c r="D29" s="32" t="s">
        <v>75</v>
      </c>
      <c r="E29" s="39" t="s">
        <v>76</v>
      </c>
      <c r="F29" s="15" t="s">
        <v>439</v>
      </c>
      <c r="G29" s="15" t="s">
        <v>409</v>
      </c>
      <c r="H29" s="20" t="s">
        <v>411</v>
      </c>
      <c r="I29" s="19" t="s">
        <v>257</v>
      </c>
    </row>
    <row r="30" ht="27" spans="1:9">
      <c r="A30" s="33"/>
      <c r="B30" s="31"/>
      <c r="C30" s="35"/>
      <c r="D30" s="35" t="s">
        <v>224</v>
      </c>
      <c r="E30" s="41" t="s">
        <v>339</v>
      </c>
      <c r="F30" s="37" t="s">
        <v>438</v>
      </c>
      <c r="G30" s="37" t="s">
        <v>409</v>
      </c>
      <c r="H30" s="45" t="s">
        <v>435</v>
      </c>
      <c r="I30" s="30" t="s">
        <v>340</v>
      </c>
    </row>
    <row r="31" spans="1:9">
      <c r="A31" s="33"/>
      <c r="B31" s="31"/>
      <c r="C31" s="17" t="s">
        <v>440</v>
      </c>
      <c r="D31" s="32" t="s">
        <v>208</v>
      </c>
      <c r="E31" s="39" t="s">
        <v>379</v>
      </c>
      <c r="F31" s="15"/>
      <c r="G31" s="15" t="s">
        <v>409</v>
      </c>
      <c r="H31" s="20" t="s">
        <v>434</v>
      </c>
      <c r="I31" s="19" t="s">
        <v>380</v>
      </c>
    </row>
    <row r="32" spans="1:9">
      <c r="A32" s="33"/>
      <c r="B32" s="31"/>
      <c r="C32" s="31"/>
      <c r="D32" s="32" t="s">
        <v>75</v>
      </c>
      <c r="E32" s="39" t="s">
        <v>261</v>
      </c>
      <c r="F32" s="15"/>
      <c r="G32" s="15" t="s">
        <v>409</v>
      </c>
      <c r="H32" s="20" t="s">
        <v>411</v>
      </c>
      <c r="I32" s="19" t="s">
        <v>262</v>
      </c>
    </row>
    <row r="33" ht="27" spans="1:9">
      <c r="A33" s="33"/>
      <c r="B33" s="31"/>
      <c r="C33" s="40"/>
      <c r="D33" s="35" t="s">
        <v>224</v>
      </c>
      <c r="E33" s="41" t="s">
        <v>441</v>
      </c>
      <c r="F33" s="37"/>
      <c r="G33" s="37" t="s">
        <v>409</v>
      </c>
      <c r="H33" s="45" t="s">
        <v>435</v>
      </c>
      <c r="I33" s="29" t="s">
        <v>442</v>
      </c>
    </row>
    <row r="34" spans="1:9">
      <c r="A34" s="33"/>
      <c r="B34" s="31"/>
      <c r="C34" s="46" t="s">
        <v>443</v>
      </c>
      <c r="D34" s="32" t="s">
        <v>208</v>
      </c>
      <c r="E34" s="39" t="s">
        <v>444</v>
      </c>
      <c r="F34" s="15" t="s">
        <v>438</v>
      </c>
      <c r="G34" s="15" t="s">
        <v>409</v>
      </c>
      <c r="H34" s="20" t="s">
        <v>434</v>
      </c>
      <c r="I34" s="20" t="s">
        <v>376</v>
      </c>
    </row>
    <row r="35" ht="27" spans="1:9">
      <c r="A35" s="33"/>
      <c r="B35" s="31"/>
      <c r="C35" s="32"/>
      <c r="D35" s="32" t="s">
        <v>75</v>
      </c>
      <c r="E35" s="39" t="s">
        <v>369</v>
      </c>
      <c r="F35" s="15" t="s">
        <v>439</v>
      </c>
      <c r="G35" s="15" t="s">
        <v>409</v>
      </c>
      <c r="H35" s="20" t="s">
        <v>411</v>
      </c>
      <c r="I35" s="19" t="s">
        <v>370</v>
      </c>
    </row>
    <row r="36" ht="27" spans="1:9">
      <c r="A36" s="26"/>
      <c r="B36" s="40"/>
      <c r="C36" s="35"/>
      <c r="D36" s="35" t="s">
        <v>224</v>
      </c>
      <c r="E36" s="41" t="s">
        <v>387</v>
      </c>
      <c r="F36" s="37" t="s">
        <v>438</v>
      </c>
      <c r="G36" s="37" t="s">
        <v>409</v>
      </c>
      <c r="H36" s="45" t="s">
        <v>435</v>
      </c>
      <c r="I36" s="30" t="s">
        <v>388</v>
      </c>
    </row>
    <row r="37" spans="1:9">
      <c r="A37" s="47" t="s">
        <v>216</v>
      </c>
      <c r="B37" s="47" t="s">
        <v>72</v>
      </c>
      <c r="C37" s="47" t="s">
        <v>445</v>
      </c>
      <c r="D37" s="12" t="s">
        <v>208</v>
      </c>
      <c r="E37" s="48" t="s">
        <v>446</v>
      </c>
      <c r="F37" s="14" t="s">
        <v>447</v>
      </c>
      <c r="G37" s="14" t="s">
        <v>409</v>
      </c>
      <c r="H37" s="49" t="s">
        <v>420</v>
      </c>
      <c r="I37" s="49" t="s">
        <v>448</v>
      </c>
    </row>
    <row r="38" spans="1:9">
      <c r="A38" s="31"/>
      <c r="B38" s="31"/>
      <c r="C38" s="31"/>
      <c r="D38" s="33" t="s">
        <v>75</v>
      </c>
      <c r="E38" s="39" t="s">
        <v>449</v>
      </c>
      <c r="F38" s="15" t="s">
        <v>450</v>
      </c>
      <c r="G38" s="15" t="s">
        <v>409</v>
      </c>
      <c r="H38" s="20" t="s">
        <v>411</v>
      </c>
      <c r="I38" s="20" t="s">
        <v>451</v>
      </c>
    </row>
    <row r="39" spans="1:9">
      <c r="A39" s="31"/>
      <c r="B39" s="31"/>
      <c r="C39" s="50"/>
      <c r="D39" s="26" t="s">
        <v>75</v>
      </c>
      <c r="E39" s="41" t="s">
        <v>452</v>
      </c>
      <c r="F39" s="37" t="s">
        <v>453</v>
      </c>
      <c r="G39" s="37" t="s">
        <v>409</v>
      </c>
      <c r="H39" s="29" t="s">
        <v>411</v>
      </c>
      <c r="I39" s="29"/>
    </row>
    <row r="40" spans="1:9">
      <c r="A40" s="31"/>
      <c r="B40" s="31"/>
      <c r="C40" s="31" t="s">
        <v>337</v>
      </c>
      <c r="D40" s="18" t="s">
        <v>224</v>
      </c>
      <c r="E40" s="51" t="s">
        <v>337</v>
      </c>
      <c r="F40" s="52" t="s">
        <v>454</v>
      </c>
      <c r="G40" s="15" t="s">
        <v>409</v>
      </c>
      <c r="H40" s="20" t="s">
        <v>455</v>
      </c>
      <c r="I40" s="19" t="s">
        <v>338</v>
      </c>
    </row>
    <row r="41" spans="1:9">
      <c r="A41" s="31"/>
      <c r="B41" s="31"/>
      <c r="C41" s="50"/>
      <c r="D41" s="26" t="s">
        <v>208</v>
      </c>
      <c r="E41" s="41" t="s">
        <v>381</v>
      </c>
      <c r="F41" s="37" t="s">
        <v>447</v>
      </c>
      <c r="G41" s="37" t="s">
        <v>409</v>
      </c>
      <c r="H41" s="29" t="s">
        <v>420</v>
      </c>
      <c r="I41" s="30" t="s">
        <v>382</v>
      </c>
    </row>
    <row r="42" spans="1:9">
      <c r="A42" s="31"/>
      <c r="B42" s="31"/>
      <c r="C42" s="31" t="s">
        <v>456</v>
      </c>
      <c r="D42" s="18" t="s">
        <v>224</v>
      </c>
      <c r="E42" s="21" t="s">
        <v>353</v>
      </c>
      <c r="F42" s="5"/>
      <c r="G42" s="15" t="s">
        <v>409</v>
      </c>
      <c r="H42" s="20" t="s">
        <v>455</v>
      </c>
      <c r="I42" s="19" t="s">
        <v>335</v>
      </c>
    </row>
    <row r="43" spans="1:9">
      <c r="A43" s="40"/>
      <c r="B43" s="40"/>
      <c r="C43" s="50"/>
      <c r="D43" s="26" t="s">
        <v>224</v>
      </c>
      <c r="E43" s="53" t="s">
        <v>225</v>
      </c>
      <c r="F43" s="42"/>
      <c r="G43" s="37" t="s">
        <v>409</v>
      </c>
      <c r="H43" s="29" t="s">
        <v>455</v>
      </c>
      <c r="I43" s="30" t="s">
        <v>336</v>
      </c>
    </row>
    <row r="44" spans="1:9">
      <c r="A44" s="47" t="s">
        <v>206</v>
      </c>
      <c r="B44" s="47" t="s">
        <v>72</v>
      </c>
      <c r="C44" s="31" t="s">
        <v>457</v>
      </c>
      <c r="D44" s="18" t="s">
        <v>208</v>
      </c>
      <c r="E44" s="2" t="s">
        <v>319</v>
      </c>
      <c r="F44" s="15"/>
      <c r="G44" s="15" t="s">
        <v>409</v>
      </c>
      <c r="H44" s="20"/>
      <c r="I44" s="19" t="s">
        <v>320</v>
      </c>
    </row>
    <row r="45" ht="27" spans="1:9">
      <c r="A45" s="40"/>
      <c r="B45" s="40"/>
      <c r="C45" s="40"/>
      <c r="D45" s="26" t="s">
        <v>208</v>
      </c>
      <c r="E45" s="41" t="s">
        <v>356</v>
      </c>
      <c r="F45" s="37" t="s">
        <v>458</v>
      </c>
      <c r="G45" s="37" t="s">
        <v>409</v>
      </c>
      <c r="H45" s="29"/>
      <c r="I45" s="30" t="s">
        <v>357</v>
      </c>
    </row>
    <row r="46" spans="1:9">
      <c r="A46" s="31" t="s">
        <v>211</v>
      </c>
      <c r="B46" s="31" t="s">
        <v>72</v>
      </c>
      <c r="C46" s="31" t="s">
        <v>459</v>
      </c>
      <c r="D46" s="18" t="s">
        <v>208</v>
      </c>
      <c r="E46" s="21" t="s">
        <v>460</v>
      </c>
      <c r="F46" s="5"/>
      <c r="G46" s="15" t="s">
        <v>409</v>
      </c>
      <c r="H46" s="20"/>
      <c r="I46" s="20" t="s">
        <v>325</v>
      </c>
    </row>
    <row r="47" spans="1:9">
      <c r="A47" s="40"/>
      <c r="B47" s="40"/>
      <c r="C47" s="40"/>
      <c r="D47" s="26" t="s">
        <v>208</v>
      </c>
      <c r="E47" s="53" t="s">
        <v>461</v>
      </c>
      <c r="F47" s="42"/>
      <c r="G47" s="37" t="s">
        <v>409</v>
      </c>
      <c r="H47" s="29"/>
      <c r="I47" s="29" t="s">
        <v>462</v>
      </c>
    </row>
    <row r="48" spans="1:9">
      <c r="A48" s="38" t="s">
        <v>206</v>
      </c>
      <c r="B48" s="38" t="s">
        <v>241</v>
      </c>
      <c r="C48" s="40" t="s">
        <v>463</v>
      </c>
      <c r="D48" s="26" t="s">
        <v>208</v>
      </c>
      <c r="E48" s="41" t="s">
        <v>395</v>
      </c>
      <c r="F48" s="42"/>
      <c r="G48" s="37" t="s">
        <v>409</v>
      </c>
      <c r="H48" s="30"/>
      <c r="I48" s="29" t="s">
        <v>331</v>
      </c>
    </row>
    <row r="49" spans="1:9">
      <c r="A49" s="40" t="s">
        <v>211</v>
      </c>
      <c r="B49" s="40" t="s">
        <v>241</v>
      </c>
      <c r="C49" s="40" t="s">
        <v>464</v>
      </c>
      <c r="D49" s="26" t="s">
        <v>208</v>
      </c>
      <c r="E49" s="37" t="s">
        <v>332</v>
      </c>
      <c r="F49" s="42"/>
      <c r="G49" s="37" t="s">
        <v>409</v>
      </c>
      <c r="H49" s="30"/>
      <c r="I49" s="30" t="s">
        <v>333</v>
      </c>
    </row>
    <row r="50" spans="1:9">
      <c r="A50" s="11" t="s">
        <v>71</v>
      </c>
      <c r="B50" s="54" t="s">
        <v>228</v>
      </c>
      <c r="C50" s="55" t="s">
        <v>263</v>
      </c>
      <c r="D50" s="18" t="s">
        <v>263</v>
      </c>
      <c r="E50" s="39" t="s">
        <v>263</v>
      </c>
      <c r="F50" s="15" t="s">
        <v>465</v>
      </c>
      <c r="G50" s="15"/>
      <c r="H50" s="19"/>
      <c r="I50" s="56" t="s">
        <v>228</v>
      </c>
    </row>
    <row r="51" spans="1:9">
      <c r="A51" s="25" t="s">
        <v>216</v>
      </c>
      <c r="B51" s="57"/>
      <c r="C51" s="58" t="s">
        <v>268</v>
      </c>
      <c r="D51" s="26" t="s">
        <v>268</v>
      </c>
      <c r="E51" s="41" t="s">
        <v>466</v>
      </c>
      <c r="F51" s="37" t="s">
        <v>465</v>
      </c>
      <c r="G51" s="37"/>
      <c r="H51" s="30"/>
      <c r="I51" s="59" t="s">
        <v>228</v>
      </c>
    </row>
    <row r="52" spans="1:9">
      <c r="A52" s="60" t="s">
        <v>244</v>
      </c>
      <c r="B52" s="47" t="s">
        <v>228</v>
      </c>
      <c r="C52" s="61" t="s">
        <v>467</v>
      </c>
      <c r="D52" s="62" t="s">
        <v>253</v>
      </c>
      <c r="E52" s="5"/>
      <c r="F52" s="14" t="s">
        <v>465</v>
      </c>
      <c r="G52" s="14"/>
      <c r="H52" s="16"/>
      <c r="I52" s="63" t="s">
        <v>297</v>
      </c>
    </row>
    <row r="53" customFormat="1" spans="1:9">
      <c r="A53" s="64" t="s">
        <v>244</v>
      </c>
      <c r="B53" s="64" t="s">
        <v>72</v>
      </c>
      <c r="C53" s="65"/>
      <c r="D53" s="3" t="s">
        <v>253</v>
      </c>
      <c r="E53" s="2"/>
      <c r="F53" s="15" t="s">
        <v>465</v>
      </c>
      <c r="G53" s="15"/>
      <c r="H53" s="19"/>
      <c r="I53" s="19" t="s">
        <v>291</v>
      </c>
    </row>
    <row r="54" customFormat="1" spans="1:9">
      <c r="A54" s="64" t="s">
        <v>244</v>
      </c>
      <c r="B54" s="64" t="s">
        <v>72</v>
      </c>
      <c r="C54" s="65"/>
      <c r="D54" s="3" t="s">
        <v>253</v>
      </c>
      <c r="E54" s="2"/>
      <c r="F54" s="15" t="s">
        <v>465</v>
      </c>
      <c r="G54" s="15"/>
      <c r="H54" s="19"/>
      <c r="I54" s="19" t="s">
        <v>294</v>
      </c>
    </row>
    <row r="55" customFormat="1" spans="1:9">
      <c r="A55" s="64" t="s">
        <v>244</v>
      </c>
      <c r="B55" s="64" t="s">
        <v>72</v>
      </c>
      <c r="C55" s="65"/>
      <c r="D55" s="3" t="s">
        <v>253</v>
      </c>
      <c r="E55" s="2"/>
      <c r="F55" s="15" t="s">
        <v>465</v>
      </c>
      <c r="G55" s="15"/>
      <c r="H55" s="19"/>
      <c r="I55" s="19" t="s">
        <v>300</v>
      </c>
    </row>
    <row r="56" customFormat="1" spans="1:9">
      <c r="A56" s="50" t="s">
        <v>244</v>
      </c>
      <c r="B56" s="50" t="s">
        <v>72</v>
      </c>
      <c r="C56" s="66"/>
      <c r="D56" s="67" t="s">
        <v>253</v>
      </c>
      <c r="E56" s="68"/>
      <c r="F56" s="37" t="s">
        <v>465</v>
      </c>
      <c r="G56" s="37"/>
      <c r="H56" s="30"/>
      <c r="I56" s="30" t="s">
        <v>303</v>
      </c>
    </row>
    <row r="57" customFormat="1" spans="1:9">
      <c r="A57" s="69" t="s">
        <v>468</v>
      </c>
      <c r="B57" s="69" t="s">
        <v>238</v>
      </c>
      <c r="C57" s="70" t="s">
        <v>237</v>
      </c>
      <c r="D57" s="71" t="s">
        <v>237</v>
      </c>
      <c r="E57" s="41" t="s">
        <v>237</v>
      </c>
      <c r="F57" s="72" t="s">
        <v>465</v>
      </c>
      <c r="G57" s="72"/>
      <c r="H57" s="73"/>
      <c r="I57" s="73" t="s">
        <v>238</v>
      </c>
    </row>
    <row r="58" customFormat="1" spans="1:9">
      <c r="A58" s="60" t="s">
        <v>468</v>
      </c>
      <c r="B58" s="74" t="s">
        <v>207</v>
      </c>
      <c r="C58" s="75" t="s">
        <v>233</v>
      </c>
      <c r="D58" s="62" t="s">
        <v>251</v>
      </c>
      <c r="E58" s="39"/>
      <c r="F58" s="14" t="s">
        <v>465</v>
      </c>
      <c r="G58" s="14"/>
      <c r="H58" s="16"/>
      <c r="I58" s="63" t="s">
        <v>234</v>
      </c>
    </row>
    <row r="59" customFormat="1" spans="1:9">
      <c r="A59" s="76" t="s">
        <v>468</v>
      </c>
      <c r="B59" s="76" t="s">
        <v>72</v>
      </c>
      <c r="C59" s="77" t="s">
        <v>229</v>
      </c>
      <c r="D59" s="78" t="s">
        <v>251</v>
      </c>
      <c r="E59" s="42"/>
      <c r="F59" s="37" t="s">
        <v>465</v>
      </c>
      <c r="G59" s="37"/>
      <c r="H59" s="30"/>
      <c r="I59" s="59" t="s">
        <v>230</v>
      </c>
    </row>
    <row r="60" spans="1:9">
      <c r="G60" s="4"/>
    </row>
    <row r="61" spans="1:9">
      <c r="G61" s="4"/>
    </row>
    <row r="62" spans="1:9">
      <c r="G62" s="4"/>
    </row>
    <row r="63" spans="1:9">
      <c r="G63" s="4"/>
    </row>
    <row r="64" spans="1:9">
      <c r="G64" s="4"/>
    </row>
    <row r="65" spans="7:7">
      <c r="G65" s="4"/>
    </row>
    <row r="66" spans="7:7">
      <c r="G66" s="4"/>
    </row>
    <row r="67" spans="7:7">
      <c r="G67" s="4"/>
    </row>
    <row r="68" spans="7:7">
      <c r="G68" s="4"/>
    </row>
    <row r="69" spans="7:7">
      <c r="G69" s="4"/>
    </row>
    <row r="70" spans="7:7">
      <c r="G70" s="4"/>
    </row>
    <row r="71" spans="7:7">
      <c r="G71" s="4"/>
    </row>
    <row r="72" spans="7:7">
      <c r="G72" s="4"/>
    </row>
    <row r="73" spans="7:7">
      <c r="G73" s="4"/>
    </row>
    <row r="74" spans="7:7">
      <c r="G74" s="4"/>
    </row>
    <row r="75" spans="7:7">
      <c r="G75" s="4"/>
    </row>
    <row r="76" spans="7:7">
      <c r="G76" s="4"/>
    </row>
    <row r="77" spans="7:7">
      <c r="G77" s="4"/>
    </row>
    <row r="78" spans="7:7">
      <c r="G78" s="4"/>
    </row>
    <row r="79" spans="7:7">
      <c r="G79" s="4"/>
    </row>
    <row r="80" spans="7:7">
      <c r="G80" s="4"/>
    </row>
    <row r="81" spans="7:7">
      <c r="G81" s="4"/>
    </row>
    <row r="82" spans="7:7">
      <c r="G82" s="4"/>
    </row>
    <row r="83" spans="7:7">
      <c r="G83" s="4"/>
    </row>
    <row r="84" spans="7:7">
      <c r="G84" s="4"/>
    </row>
    <row r="85" spans="7:7">
      <c r="G85" s="4"/>
    </row>
    <row r="86" spans="7:7">
      <c r="G86" s="4"/>
    </row>
    <row r="87" spans="7:7">
      <c r="G87" s="4"/>
    </row>
    <row r="88" spans="7:7">
      <c r="G88" s="4"/>
    </row>
    <row r="89" spans="7:7">
      <c r="G89" s="4"/>
    </row>
    <row r="90" spans="7:7">
      <c r="G90" s="4"/>
    </row>
    <row r="91" spans="7:7">
      <c r="G91" s="4"/>
    </row>
    <row r="92" spans="7:7">
      <c r="G92" s="4"/>
    </row>
    <row r="93" spans="7:7">
      <c r="G93" s="4"/>
    </row>
    <row r="94" spans="7:7">
      <c r="G94" s="4"/>
    </row>
    <row r="95" spans="7:7">
      <c r="G95" s="4"/>
    </row>
    <row r="96" spans="7:7">
      <c r="G96" s="4"/>
    </row>
    <row r="97" spans="5:7">
      <c r="G97" s="4"/>
    </row>
    <row r="98" spans="5:7">
      <c r="G98" s="4"/>
    </row>
    <row r="99" spans="5:7">
      <c r="G99" s="4"/>
    </row>
    <row r="100" spans="5:7">
      <c r="G100" s="4"/>
    </row>
    <row r="101" spans="5:7">
      <c r="G101" s="4"/>
    </row>
    <row r="102" spans="5:7">
      <c r="G102" s="4"/>
    </row>
    <row r="103" spans="5:7">
      <c r="E103" s="79"/>
      <c r="G103" s="4"/>
    </row>
    <row r="104" spans="5:7">
      <c r="E104" s="79"/>
      <c r="G104" s="4"/>
    </row>
    <row r="105" spans="5:7">
      <c r="E105" s="79"/>
      <c r="G105" s="4"/>
    </row>
    <row r="106" spans="5:7">
      <c r="E106" s="79"/>
      <c r="G106" s="4"/>
    </row>
    <row r="107" spans="5:7">
      <c r="E107" s="79"/>
      <c r="G107" s="4"/>
    </row>
    <row r="108" spans="5:7">
      <c r="E108" s="80"/>
      <c r="G108" s="4"/>
    </row>
    <row r="109" spans="5:7">
      <c r="E109" s="79"/>
      <c r="G109" s="4"/>
    </row>
    <row r="110" spans="5:7">
      <c r="E110" s="79"/>
      <c r="G110" s="4"/>
    </row>
    <row r="111" spans="5:7">
      <c r="E111" s="79"/>
      <c r="G111" s="4"/>
    </row>
    <row r="112" spans="5:7">
      <c r="E112" s="79"/>
      <c r="G112" s="4"/>
    </row>
    <row r="113" spans="5:7">
      <c r="E113" s="79"/>
      <c r="G113" s="4"/>
    </row>
    <row r="114" spans="5:7">
      <c r="E114" s="79"/>
      <c r="G114" s="4"/>
    </row>
    <row r="115" spans="5:7">
      <c r="G115" s="4"/>
    </row>
    <row r="116" spans="5:7">
      <c r="E116" s="79"/>
      <c r="G116" s="4"/>
    </row>
    <row r="117" spans="5:7">
      <c r="G117" s="4"/>
    </row>
    <row r="118" spans="5:7">
      <c r="E118" s="79"/>
      <c r="G118" s="4"/>
    </row>
    <row r="119" spans="5:7">
      <c r="E119" s="79"/>
      <c r="G119" s="4"/>
    </row>
    <row r="120" spans="5:7">
      <c r="E120" s="79"/>
      <c r="G120" s="4"/>
    </row>
    <row r="121" spans="5:7">
      <c r="E121" s="79"/>
      <c r="G121" s="4"/>
    </row>
    <row r="122" spans="5:7">
      <c r="E122" s="81"/>
      <c r="G122" s="4"/>
    </row>
    <row r="123" spans="5:7">
      <c r="E123" s="79"/>
      <c r="G123" s="4"/>
    </row>
    <row r="124" spans="5:7">
      <c r="G124" s="4"/>
    </row>
    <row r="125" spans="5:7">
      <c r="E125" s="79"/>
      <c r="G125" s="4"/>
    </row>
  </sheetData>
  <sheetProtection formatCells="0" insertHyperlinks="0" autoFilter="0"/>
  <autoFilter xmlns:etc="http://www.wps.cn/officeDocument/2017/etCustomData" ref="A1:I125" etc:filterBottomFollowUsedRange="0">
    <extLst/>
  </autoFilter>
  <mergeCells count="32">
    <mergeCell ref="A2:A9"/>
    <mergeCell ref="A10:A14"/>
    <mergeCell ref="A15:A19"/>
    <mergeCell ref="A20:A22"/>
    <mergeCell ref="A23:A36"/>
    <mergeCell ref="A37:A43"/>
    <mergeCell ref="A44:A45"/>
    <mergeCell ref="A46:A47"/>
    <mergeCell ref="B2:B9"/>
    <mergeCell ref="B10:B14"/>
    <mergeCell ref="B15:B19"/>
    <mergeCell ref="B20:B22"/>
    <mergeCell ref="B23:B36"/>
    <mergeCell ref="B37:B43"/>
    <mergeCell ref="B44:B45"/>
    <mergeCell ref="B46:B47"/>
    <mergeCell ref="B50:B51"/>
    <mergeCell ref="C2:C9"/>
    <mergeCell ref="C10:C14"/>
    <mergeCell ref="C15:C17"/>
    <mergeCell ref="C18:C19"/>
    <mergeCell ref="C20:C22"/>
    <mergeCell ref="C23:C27"/>
    <mergeCell ref="C28:C30"/>
    <mergeCell ref="C31:C33"/>
    <mergeCell ref="C34:C36"/>
    <mergeCell ref="C37:C39"/>
    <mergeCell ref="C40:C41"/>
    <mergeCell ref="C42:C43"/>
    <mergeCell ref="C44:C45"/>
    <mergeCell ref="C46:C47"/>
    <mergeCell ref="D7:D9"/>
  </mergeCells>
  <pageMargins left="0.75" right="0.75" top="1" bottom="1" header="0.511805555555556" footer="0.511805555555556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sheetProtection formatCells="0" insertHyperlinks="0" autoFilter="0"/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���s9N9N����O9e:N�[gԏ�Veg�v�[E���9�͑�s9N9N�_�0�AS	c�Nh���eO�`��e�O�`Y�l�s9N9N:
�/f��N'��N�R��NgbL��NkX�Q��s9N9N���NaST�y���Vyr�_wm>m�irAm�ShyNUST�y�U5yr�_N�~�s9N9N���NaST�y��~�~N�~Sz�aS>m	��irAm�ShyNUST�y�U4�~�~N�~�s9N9N:
��N'��N��|�~NUST���l�
NkX�Q�s9N9N:
�S(ulQ_�b�S�W@x<h_�FOnsQ9�/sQz/�bsQ9�I{����L��O9ee�EQ�s9N9N�vT�^��ZPN _USsS�STv^��9��N�e�N�~t�l�Y�l
</file>

<file path=customXml/item2.xml>����b�BlzzЏwmЏ
</file>

<file path=customXml/item3.xml>���s9N9N!�`i`�s9N9N�s9N9NNgg��Ngg��Ngg��Ngg��Ğ��Ğ��Ğ��Ğ��Ğ���s9N9NĞ��Ngg��Ngg��Ngg��Ngg��Ngg��Ngg��Ngg��Ngg��Ngg��Ngg��Ngg��Ngg���s9N9N�s9N9N�s9N9N�s9N9NV��lNSV��lNSV��lNSV��lNSV��lNSV��lNS��s���lwi��lwi��s���s���s���s���lwi��lwi��lwi��lwi��lwi��lwi��lwi��lwihg�[�hhg�[�hhg�[�hhg�[�hhg�[�hhg�[�hhg�[�hV��lNSV��lNSV��lNSV��lNSV��lNSV��lNSV��lNS��s��s9N9N�s9N9N�s9N9N�s9N9N�s9N9N��lwi�s9N9N��lwi��lwi��lwi��lwi��lwi��lwi��lwi��lwi��s���s���s���s���s���lwi��lwihg�[�hhg�[�hhg�[�hhg�[�h��lwi�s9N9N��s���s���s���s���lwi��lwi��lwi��lwi��lwi��lwiV��lNSV��lNS��s���s���s�hg�[�hhg�[�hhg�[�hhg�[�h��lwi��lwi��lwi��lwi��lwi��lwi��lwi��lwi��lwi��lwi��lwi��lwi��lwi��lwihg�[�hhg�[�hhg�[�hhg�[�hhg�[�hhg�[�hhg�[�hhg�[�hhg�[�h��lwi��lwi��lwi��lwi��lwi��lwi��lwi��lwi��lwi��lwi��lwi��lwi��lwi��lwi��lwi��lwi��lwi��lwi��lwi��lwi��lwi��lwi��lwi��lwi��lwi��lwi��lwiV��lNSpenc�Ɖh�
</file>

<file path=customXml/item4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customXml/itemProps2.xml><?xml version="1.0" encoding="utf-8"?>
<ds:datastoreItem xmlns:ds="http://schemas.openxmlformats.org/officeDocument/2006/customXml" ds:itemID="{D5662047-3127-477A-AC3A-1D340467FB41}">
  <ds:schemaRefs/>
</ds:datastoreItem>
</file>

<file path=customXml/itemProps3.xml><?xml version="1.0" encoding="utf-8"?>
<ds:datastoreItem xmlns:ds="http://schemas.openxmlformats.org/officeDocument/2006/customXml" ds:itemID="{06C82605-B75B-4693-9329-32AAD527C692}">
  <ds:schemaRefs/>
</ds:datastoreItem>
</file>

<file path=customXml/itemProps4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WWO_wpscloud_20240620175157-2f259bf60d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调拨单汇总表</vt:lpstr>
      <vt:lpstr>询价详情记录总</vt:lpstr>
      <vt:lpstr>FBA地址记录</vt:lpstr>
      <vt:lpstr>每周更新</vt:lpstr>
      <vt:lpstr>下拉列表</vt:lpstr>
      <vt:lpstr>物流渠道信息汇总</vt:lpstr>
      <vt:lpstr>WpsReserved_CellImgList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senwa</dc:creator>
  <cp:lastModifiedBy>龚艳</cp:lastModifiedBy>
  <dcterms:created xsi:type="dcterms:W3CDTF">2024-03-01T23:25:00Z</dcterms:created>
  <dcterms:modified xsi:type="dcterms:W3CDTF">2026-05-26T02:38:45Z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FA2A363A15A94E80AC63D2CEE61BAD16_13</vt:lpwstr>
  </property>
  <property fmtid="{D5CDD505-2E9C-101B-9397-08002B2CF9AE}" pid="3" name="KSOProductBuildVer">
    <vt:lpwstr>2052-12.1.0.26375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