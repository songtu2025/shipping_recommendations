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JPG" ContentType="image/.jp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汇总" sheetId="1" r:id="rId1"/>
    <sheet name="WpsReserved_CellImgList" sheetId="2" state="veryHidden" r:id="rId2"/>
  </sheets>
  <definedNames>
    <definedName name="_xlnm._FilterDatabase" localSheetId="0" hidden="1">汇总!$A$1:$W$112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2379718950024BA6B5BCA86EB1A3CEA4" descr="post_object_image_3141806773"/>
        <xdr:cNvPicPr/>
      </xdr:nvPicPr>
      <xdr:blipFill>
        <a:blip r:embed="rId1"/>
        <a:stretch>
          <a:fillRect/>
        </a:stretch>
      </xdr:blipFill>
      <xdr:spPr>
        <a:xfrm>
          <a:off x="0" y="0"/>
          <a:ext cx="2768600" cy="3962400"/>
        </a:xfrm>
        <a:prstGeom prst="rect">
          <a:avLst/>
        </a:prstGeom>
      </xdr:spPr>
    </xdr:pic>
  </etc:cellImage>
  <etc:cellImage>
    <xdr:pic>
      <xdr:nvPicPr>
        <xdr:cNvPr id="5" name="ID_41176A73349546F7AEC1D05FB64C5190" descr="post_object_image_2406527256"/>
        <xdr:cNvPicPr/>
      </xdr:nvPicPr>
      <xdr:blipFill>
        <a:blip r:embed="rId2"/>
        <a:stretch>
          <a:fillRect/>
        </a:stretch>
      </xdr:blipFill>
      <xdr:spPr>
        <a:xfrm>
          <a:off x="0" y="0"/>
          <a:ext cx="2781300" cy="3124200"/>
        </a:xfrm>
        <a:prstGeom prst="rect">
          <a:avLst/>
        </a:prstGeom>
      </xdr:spPr>
    </xdr:pic>
  </etc:cellImage>
  <etc:cellImage>
    <xdr:pic>
      <xdr:nvPicPr>
        <xdr:cNvPr id="3" name="ID_934C0F4E693C44B782439CF3FF9BD46B" descr="post_object_image_3169108363"/>
        <xdr:cNvPicPr/>
      </xdr:nvPicPr>
      <xdr:blipFill>
        <a:blip r:embed="rId3"/>
        <a:stretch>
          <a:fillRect/>
        </a:stretch>
      </xdr:blipFill>
      <xdr:spPr>
        <a:xfrm>
          <a:off x="0" y="0"/>
          <a:ext cx="1638300" cy="2235200"/>
        </a:xfrm>
        <a:prstGeom prst="rect">
          <a:avLst/>
        </a:prstGeom>
      </xdr:spPr>
    </xdr:pic>
  </etc:cellImage>
  <etc:cellImage>
    <xdr:pic>
      <xdr:nvPicPr>
        <xdr:cNvPr id="10" name="ID_737352BCD0CE4FC2AEBF9D8E90F307B7" descr="post_object_image_2933128297"/>
        <xdr:cNvPicPr/>
      </xdr:nvPicPr>
      <xdr:blipFill>
        <a:blip r:embed="rId4"/>
        <a:stretch>
          <a:fillRect/>
        </a:stretch>
      </xdr:blipFill>
      <xdr:spPr>
        <a:xfrm>
          <a:off x="0" y="0"/>
          <a:ext cx="3467100" cy="3333750"/>
        </a:xfrm>
        <a:prstGeom prst="rect">
          <a:avLst/>
        </a:prstGeom>
      </xdr:spPr>
    </xdr:pic>
  </etc:cellImage>
  <etc:cellImage>
    <xdr:pic>
      <xdr:nvPicPr>
        <xdr:cNvPr id="13" name="ID_158D6902F0E042DE8EE4ACC919F1C263" descr="post_object_image_1760487547"/>
        <xdr:cNvPicPr/>
      </xdr:nvPicPr>
      <xdr:blipFill>
        <a:blip r:embed="rId5"/>
        <a:stretch>
          <a:fillRect/>
        </a:stretch>
      </xdr:blipFill>
      <xdr:spPr>
        <a:xfrm>
          <a:off x="0" y="0"/>
          <a:ext cx="1828800" cy="3797300"/>
        </a:xfrm>
        <a:prstGeom prst="rect">
          <a:avLst/>
        </a:prstGeom>
      </xdr:spPr>
    </xdr:pic>
  </etc:cellImage>
  <etc:cellImage>
    <xdr:pic>
      <xdr:nvPicPr>
        <xdr:cNvPr id="12" name="ID_1F9206A4BF9A45FFBDBE186585BF1015" descr="post_object_image_140683306"/>
        <xdr:cNvPicPr/>
      </xdr:nvPicPr>
      <xdr:blipFill>
        <a:blip r:embed="rId6"/>
        <a:stretch>
          <a:fillRect/>
        </a:stretch>
      </xdr:blipFill>
      <xdr:spPr>
        <a:xfrm>
          <a:off x="0" y="0"/>
          <a:ext cx="1866900" cy="4597400"/>
        </a:xfrm>
        <a:prstGeom prst="rect">
          <a:avLst/>
        </a:prstGeom>
      </xdr:spPr>
    </xdr:pic>
  </etc:cellImage>
  <etc:cellImage>
    <xdr:pic>
      <xdr:nvPicPr>
        <xdr:cNvPr id="14" name="ID_899B0DD7D6814291B8FFFA033A6B8F52" descr="post_object_image_2012314091"/>
        <xdr:cNvPicPr/>
      </xdr:nvPicPr>
      <xdr:blipFill>
        <a:blip r:embed="rId7"/>
        <a:stretch>
          <a:fillRect/>
        </a:stretch>
      </xdr:blipFill>
      <xdr:spPr>
        <a:xfrm>
          <a:off x="0" y="0"/>
          <a:ext cx="4813300" cy="1574800"/>
        </a:xfrm>
        <a:prstGeom prst="rect">
          <a:avLst/>
        </a:prstGeom>
      </xdr:spPr>
    </xdr:pic>
  </etc:cellImage>
  <etc:cellImage>
    <xdr:pic>
      <xdr:nvPicPr>
        <xdr:cNvPr id="15" name="ID_3054F46BB86C42929225CC1D06423939" descr="post_object_image_2155058339"/>
        <xdr:cNvPicPr/>
      </xdr:nvPicPr>
      <xdr:blipFill>
        <a:blip r:embed="rId8"/>
        <a:stretch>
          <a:fillRect/>
        </a:stretch>
      </xdr:blipFill>
      <xdr:spPr>
        <a:xfrm>
          <a:off x="0" y="0"/>
          <a:ext cx="1803400" cy="2438400"/>
        </a:xfrm>
        <a:prstGeom prst="rect">
          <a:avLst/>
        </a:prstGeom>
      </xdr:spPr>
    </xdr:pic>
  </etc:cellImage>
  <etc:cellImage>
    <xdr:pic>
      <xdr:nvPicPr>
        <xdr:cNvPr id="16" name="ID_27FC3A75D7C74ACF92F877FABF3AB021" descr="post_object_image_580252985"/>
        <xdr:cNvPicPr/>
      </xdr:nvPicPr>
      <xdr:blipFill>
        <a:blip r:embed="rId9"/>
        <a:stretch>
          <a:fillRect/>
        </a:stretch>
      </xdr:blipFill>
      <xdr:spPr>
        <a:xfrm>
          <a:off x="0" y="0"/>
          <a:ext cx="1854200" cy="10668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<sst xmlns="http://schemas.openxmlformats.org/spreadsheetml/2006/main" count="1111" uniqueCount="259">
  <si>
    <t>登记人</t>
  </si>
  <si>
    <t>店铺站点</t>
  </si>
  <si>
    <t>FBA ID</t>
  </si>
  <si>
    <t>查验数量</t>
  </si>
  <si>
    <t>品类/listing</t>
  </si>
  <si>
    <t>发货时间</t>
  </si>
  <si>
    <t>物流商</t>
  </si>
  <si>
    <t>物流渠道</t>
  </si>
  <si>
    <t>通知查验时间</t>
  </si>
  <si>
    <t>查验原因</t>
  </si>
  <si>
    <t>是否放行</t>
  </si>
  <si>
    <t>放行时间</t>
  </si>
  <si>
    <t>查验时长</t>
  </si>
  <si>
    <t>目前进展</t>
  </si>
  <si>
    <t>物流商反馈预计解决时长</t>
  </si>
  <si>
    <t>本次物流商提供的解决方案</t>
  </si>
  <si>
    <t>是否会再次出现，后续解决方案</t>
  </si>
  <si>
    <t>结果</t>
  </si>
  <si>
    <t>财务备注</t>
  </si>
  <si>
    <t>是否国内查验</t>
  </si>
  <si>
    <t>是否国外查验</t>
  </si>
  <si>
    <t>国内放行时间</t>
  </si>
  <si>
    <t>国外放行时间</t>
  </si>
  <si>
    <t>是否纳入库存计算</t>
  </si>
  <si>
    <t>纳入库存计算后签收日期</t>
  </si>
  <si>
    <t>丹丹</t>
  </si>
  <si>
    <t>SENWAYZON:US</t>
  </si>
  <si>
    <t>FBA195DH1F4P(前4箱）
1Z62AV226655896369</t>
  </si>
  <si>
    <t>SG802</t>
  </si>
  <si>
    <t>原飞航</t>
  </si>
  <si>
    <t>发UHK03香港UPS美国红单大货包税价-特快</t>
  </si>
  <si>
    <t>放行之后又查验，低申报，提高申报后，目的地美国需要正式报关
包税渠道货代是货代控制申报价，不会按照我们给的申报单价进行申报，原飞航反馈一票大概在400-600左右</t>
  </si>
  <si>
    <t>是</t>
  </si>
  <si>
    <r>
      <rPr>
        <sz val="11"/>
        <color rgb="FF000000"/>
        <rFont val="宋体"/>
        <charset val="134"/>
      </rPr>
      <t>进口商那边反馈还是在催促中。仍在等海关处理，这几天都在催，会尽快解决。
3/9重新提交审核资料了，如果重新提交资料还是不行则是申请退运，还在等待审核资料，若退运不能退回国内，只能重新发出或者销毁
3/16更新：2箱已放行，预计3/16送达，2箱未放行，国外进口商在跟进（1Z62AV226657180977、1Z62AV226657291384 ）
3/26更新：可以提前赔付2箱未接收的货值，需要补收2箱已接收的运费
3/30反馈：未接收2箱已放行，后台未上架，后续正常上架之后也是需要补收运费，未上架则赔偿采购货值</t>
    </r>
    <r>
      <rPr>
        <b/>
        <sz val="11"/>
        <color rgb="FF000000"/>
        <rFont val="宋体"/>
        <charset val="134"/>
      </rPr>
      <t xml:space="preserve">
4箱运费7080 --- 3/30仕杰协商4箱运费免除
2箱未上架，赔偿货值</t>
    </r>
  </si>
  <si>
    <t>无</t>
  </si>
  <si>
    <t>运费之前已先不付；
如果在3/15还没有清关处理出来，先按采购价值赔付，在2月账单去减掉。
后续如果清关出来，需要补收（运费和采购价值）---补收情况可以协商</t>
  </si>
  <si>
    <t>是会有的，都不能保证不查验；
出货原飞航都是有写固定清关行邮箱的，查验后清关行都是有去解决的，因为包税渠道，实际是和快递模式一样，唯一的利润点是赌不遇到清关查验和税金的多少
原飞航后续出货有在原本的基础上提升一些申报价值</t>
  </si>
  <si>
    <t>3.26原飞航反馈：
1.已放行那两箱要补付运费，不免
2.未放行的两箱，可以先赔偿货值</t>
  </si>
  <si>
    <t>1.若完成清关，协商减免运费（我们产品多为季节性产品，清关延误太久，已错过旺季销售期）
2.若退运，需补偿二次运费等相关费用</t>
  </si>
  <si>
    <t>否</t>
  </si>
  <si>
    <t>俊鑫</t>
  </si>
  <si>
    <t>TK</t>
  </si>
  <si>
    <t>ST25120501</t>
  </si>
  <si>
    <t>查验的货物海关自从取消免税的政策，货物都要做正式进口，积压较多，清关也久，放行之后又查验</t>
  </si>
  <si>
    <t>未放行，已索赔</t>
  </si>
  <si>
    <t>暂未</t>
  </si>
  <si>
    <r>
      <rPr>
        <sz val="11"/>
        <color rgb="FF000000"/>
        <rFont val="宋体"/>
        <charset val="134"/>
      </rPr>
      <t xml:space="preserve">进口商那边反馈还是在催促中。仍在等海关处理，这几天都在催，会尽快解决
</t>
    </r>
    <r>
      <rPr>
        <b/>
        <sz val="11"/>
        <color rgb="FF000000"/>
        <rFont val="宋体"/>
        <charset val="134"/>
      </rPr>
      <t>3.26申请原飞航索赔，运费加货值</t>
    </r>
  </si>
  <si>
    <t>3.26原飞航反馈：申请丢件赔偿货值</t>
  </si>
  <si>
    <t>子恩</t>
  </si>
  <si>
    <t>SEEKWAY:US</t>
  </si>
  <si>
    <t>FBA195SH86MG</t>
  </si>
  <si>
    <t>KP006+KP001</t>
  </si>
  <si>
    <t>一八</t>
  </si>
  <si>
    <t>美森极致达快递派</t>
  </si>
  <si>
    <t>5H查验
该票货物查验目前已由新部门（CBP FAST DOC REVIEW）接管
一八根本原因是保险公司出问题，导致所有与此公司购买保险的物流商都出了问题；一八反馈还有其他物流商反馈是 实体公司问题（一八也没有实体公司）。
在国外会注册公司，之后每一年交税，以及买保险；但一八没有办理实体公司，没有实体在那边去营业去办公。</t>
  </si>
  <si>
    <r>
      <rPr>
        <b/>
        <sz val="11"/>
        <color rgb="FF000000"/>
        <rFont val="宋体"/>
        <charset val="134"/>
      </rPr>
      <t>5/15更新：</t>
    </r>
    <r>
      <rPr>
        <sz val="11"/>
        <color rgb="FF000000"/>
        <rFont val="宋体"/>
        <charset val="134"/>
      </rPr>
      <t>5/12已签收，接收数量均无差异。需观察是否产生入库绩效费</t>
    </r>
  </si>
  <si>
    <t>1、有不同的bond，刚好那个出现问题，被5H查验后，那个bond不会再使用了；一八换保险公司，使用的bond会查询购买保险公司是否存在黑名单问题
3、在美国使用实体办公室清关（如果是设立的实体公司的话，5H查验，即使是保险公司出了问题，也不会产生什么影响），
4、货物清关完成后优先安排自营车辆优先派送
5、退运回来一八将会把货放在监管仓，然后重新申报出口，到目的地需要换标和运费由一八承担。</t>
  </si>
  <si>
    <t>虽然换保险公司，设立实体办公室，但不能担保不会再遇到5H查验，正常来说是已经全部规避了
一八反馈如果再遇到这类型查验肯定是可以过的，已经做好了所有准备</t>
  </si>
  <si>
    <t>FBA195SHZNSR</t>
  </si>
  <si>
    <t>CIKERWEL:US</t>
  </si>
  <si>
    <t>FBA19873ZVR4</t>
  </si>
  <si>
    <t>SP006</t>
  </si>
  <si>
    <t>国内查验</t>
  </si>
  <si>
    <t>已放行。
延误两水。改配船期3/16日开船，预计3/29到港。
随机查验，海关查出一个服装产品要确认是否侵权(非我司产品)。</t>
  </si>
  <si>
    <t>FBA1988DQZY2</t>
  </si>
  <si>
    <t>KP001+SP001</t>
  </si>
  <si>
    <t>德速</t>
  </si>
  <si>
    <t>美森限时达-正班</t>
  </si>
  <si>
    <t>3/14目的港查验
3/3国内查验</t>
  </si>
  <si>
    <t>4/28更新：已放行
起运港查验原因：宁波起运，目前查验多的是买单货。 如果整柜里有买单货，就会增加查验率，导致我们有报关的货也被耽误查验了</t>
  </si>
  <si>
    <t>物流商查单证问具体原因</t>
  </si>
  <si>
    <t>是会有的，不能避免这类情况查验</t>
  </si>
  <si>
    <t>FBA1988DVZD5</t>
  </si>
  <si>
    <t>FBA1988DS5Q2</t>
  </si>
  <si>
    <t>FBA198C9HPLM</t>
  </si>
  <si>
    <t>SK002</t>
  </si>
  <si>
    <t>美国普货空运快线（快递派）</t>
  </si>
  <si>
    <t>美国海关1H查验</t>
  </si>
  <si>
    <t>已放行</t>
  </si>
  <si>
    <t>FBA1986Q64PS</t>
  </si>
  <si>
    <t>FBA1988P0H7D</t>
  </si>
  <si>
    <t>902+905+930+931</t>
  </si>
  <si>
    <t>3/13已放行</t>
  </si>
  <si>
    <t>FBA1988PCD5J</t>
  </si>
  <si>
    <t>FBA1988QL0TB</t>
  </si>
  <si>
    <t>FBA1988QS0R6</t>
  </si>
  <si>
    <t>FBA1988RR12V</t>
  </si>
  <si>
    <t>婷怡</t>
  </si>
  <si>
    <t>RIVMOUNT:US</t>
  </si>
  <si>
    <t>FBA1985FHHSP</t>
  </si>
  <si>
    <t>RG802</t>
  </si>
  <si>
    <t>FBA1985F0NDF</t>
  </si>
  <si>
    <t>FBA1985CWFBW</t>
  </si>
  <si>
    <t>FBA1985B8ZQ8</t>
  </si>
  <si>
    <t>FBA19859BK4L</t>
  </si>
  <si>
    <t>佳琪</t>
  </si>
  <si>
    <t>RIVBOS：US</t>
  </si>
  <si>
    <t>FBA1988S1QCW</t>
  </si>
  <si>
    <t>RBK068
RBK002
RBK068
RBK002
RBK070</t>
  </si>
  <si>
    <t>FBA1988TM9QN</t>
  </si>
  <si>
    <t>FBA1988TSQWK</t>
  </si>
  <si>
    <t>RIVBOS：DE</t>
  </si>
  <si>
    <t>FBA15LH3GML9</t>
  </si>
  <si>
    <t>RB832
RBK004-2</t>
  </si>
  <si>
    <t>美通</t>
  </si>
  <si>
    <t>欧洲海派BE1专线-华南</t>
  </si>
  <si>
    <t>中国海关随机抽查</t>
  </si>
  <si>
    <t>FBA198M4KXRD</t>
  </si>
  <si>
    <t>美国海速派-美森-正班</t>
  </si>
  <si>
    <t>中国海关随机抽查【查验方式:机检】</t>
  </si>
  <si>
    <t>FBA198MB4GTP</t>
  </si>
  <si>
    <t>FBA198LR0KD3</t>
  </si>
  <si>
    <t>FBA198LRMTMY</t>
  </si>
  <si>
    <t>FBA198FFT66Z</t>
  </si>
  <si>
    <t>起运港随机查验</t>
  </si>
  <si>
    <t>FBA198FGR4B9</t>
  </si>
  <si>
    <t>FBA198FDYR5P</t>
  </si>
  <si>
    <t>SEEKWAY:CA</t>
  </si>
  <si>
    <t>FBA198XP7JFX</t>
  </si>
  <si>
    <t>SK001</t>
  </si>
  <si>
    <t>CU1美森美转加-2E 加拿大海运快线-美森卡派</t>
  </si>
  <si>
    <t>出口报关查验</t>
  </si>
  <si>
    <t>FBA198R5WS1R</t>
  </si>
  <si>
    <t>902+905+930+931+803+805</t>
  </si>
  <si>
    <t>美国海速派-美森正班（包税）</t>
  </si>
  <si>
    <t>FBA198R3CKY0</t>
  </si>
  <si>
    <t>FBA198R63CYC</t>
  </si>
  <si>
    <t>FBA198R6TNQK</t>
  </si>
  <si>
    <t>FBA198R63YTK</t>
  </si>
  <si>
    <t>FBA199461N1N</t>
  </si>
  <si>
    <t>KP001＋KSP001＋SK002＋SP001</t>
  </si>
  <si>
    <t>UHK02香港UPS加拿大红单大货包税价</t>
  </si>
  <si>
    <t>报关车遇海关普通查车</t>
  </si>
  <si>
    <t>FBA19945MFL3</t>
  </si>
  <si>
    <t>FBA19946SHN3</t>
  </si>
  <si>
    <t>FBA19942XFW8</t>
  </si>
  <si>
    <t>FBA19944J5G9</t>
  </si>
  <si>
    <t>FBA19945L6TS</t>
  </si>
  <si>
    <t>KP001＋KSP001＋SP001</t>
  </si>
  <si>
    <t>FBA19986G0Y5</t>
  </si>
  <si>
    <t>SK002+SK001+SP001</t>
  </si>
  <si>
    <t>FBA1998B6Q2S</t>
  </si>
  <si>
    <t>FBA1995RYZ41</t>
  </si>
  <si>
    <t>德速_美国空派普货促销(包税) /体积除6000-快递派</t>
  </si>
  <si>
    <t>(CBP HOLD-1H)
目的港开箱查验</t>
  </si>
  <si>
    <t>FBA1995S58JG</t>
  </si>
  <si>
    <t>FBA1995SQQST</t>
  </si>
  <si>
    <t>FBA1995TXZVX</t>
  </si>
  <si>
    <t>FBA1995VCHP4</t>
  </si>
  <si>
    <t>FBA1995R7VCZ</t>
  </si>
  <si>
    <t>WP001</t>
  </si>
  <si>
    <t>美国空派普货标准线（快递派）</t>
  </si>
  <si>
    <t>目的港海关随机抽查，1H查验（中途：因查验站爆仓，等待提进查验站的等待时间较久）</t>
  </si>
  <si>
    <t>FBA1995PVDHF</t>
  </si>
  <si>
    <t>FBA1995PNMJP</t>
  </si>
  <si>
    <t>FBA1995L0B3J</t>
  </si>
  <si>
    <t>FBA1995KPWYR</t>
  </si>
  <si>
    <t>FBA199T9Y1JD</t>
  </si>
  <si>
    <t>SP001</t>
  </si>
  <si>
    <t>已放行。
延误一水，改配船期4/15开船，4/26到港。</t>
  </si>
  <si>
    <t>FBA199TB9BB8</t>
  </si>
  <si>
    <t>FBA199TBN6PZ</t>
  </si>
  <si>
    <t>FBA199601KJQ</t>
  </si>
  <si>
    <t>德速_美东海卡极速达 包税（kg）</t>
  </si>
  <si>
    <t>目的港查验，2H-农业部门查验</t>
  </si>
  <si>
    <t>5/6更新：已放行，等待回装然后提柜到仓
查材质，由于之前5H查验导致堆场爆仓，预计可能1-2周才能完成查验放行。</t>
  </si>
  <si>
    <t>FBA19960CW53</t>
  </si>
  <si>
    <t>FBA199RXLQZP</t>
  </si>
  <si>
    <t>SK001＋SK002＋SP001</t>
  </si>
  <si>
    <t>加拿大专线-大陆 (CN-极速特快)</t>
  </si>
  <si>
    <t>国外海关抽中查验</t>
  </si>
  <si>
    <t>FBA198W7W6L8</t>
  </si>
  <si>
    <t>美西极速达</t>
  </si>
  <si>
    <t>所在的柜子在目的港被抽中查验，类型：1H-开箱查验</t>
  </si>
  <si>
    <t>4/20更新：排队等待开箱
4/27更新：海关要求更新资料，德速已递交更新
4/28更新：目的港查验已放行，目前等待回装然后提柜到仓，暂未有预计提柜到仓时间</t>
  </si>
  <si>
    <t>FBA198W87V96</t>
  </si>
  <si>
    <t>FBA199WC9JQ7</t>
  </si>
  <si>
    <t>顺丰</t>
  </si>
  <si>
    <t>FBA美国标快(大陆-统配）</t>
  </si>
  <si>
    <t>国外通知例行查验</t>
  </si>
  <si>
    <t>5/8更新：当地时间5/7已放行</t>
  </si>
  <si>
    <t>FBA199W8VMNQ</t>
  </si>
  <si>
    <t>FBA199RQ8FRR</t>
  </si>
  <si>
    <t>FBA199RQZ3KK</t>
  </si>
  <si>
    <t>FBA199RR20TM</t>
  </si>
  <si>
    <t>FBA199RS74H9</t>
  </si>
  <si>
    <t>RIVMOUNT:CA</t>
  </si>
  <si>
    <t>FBA19BBWV8P9</t>
  </si>
  <si>
    <t>WP001+SWS001+SWS002</t>
  </si>
  <si>
    <t>CU2快提美转加-2E</t>
  </si>
  <si>
    <t>出口海关抽查查验</t>
  </si>
  <si>
    <t>已放行，改到下一水ETD 4/22，ETA 5/3</t>
  </si>
  <si>
    <t>FBA19BC7Z4V3</t>
  </si>
  <si>
    <t>SR001</t>
  </si>
  <si>
    <t>目的港查验</t>
  </si>
  <si>
    <t>FBA19BC9STDN</t>
  </si>
  <si>
    <t>FBA19BCG2MHB</t>
  </si>
  <si>
    <t>FBA19BCHGQ3V</t>
  </si>
  <si>
    <t>FBA19BCKXT19</t>
  </si>
  <si>
    <t>FBA19BGC17GG</t>
  </si>
  <si>
    <t>美森准时达-加班</t>
  </si>
  <si>
    <t>起运港随机查验，机查</t>
  </si>
  <si>
    <t>4/22更新：预计今天开箱查
4/24更新：预计会延至下一趟船期
4/27更新：客服反馈还在争取看能否赶上本周船期
4/29更新：海关要求删单重报，重新申报已放行，新船期</t>
  </si>
  <si>
    <t>FBA19BGF18VM</t>
  </si>
  <si>
    <t>FBA19B96G61H</t>
  </si>
  <si>
    <t>FBA19B9730K5</t>
  </si>
  <si>
    <t>FBA19B9872H0</t>
  </si>
  <si>
    <t>FBA19B99FLBD</t>
  </si>
  <si>
    <t>FBA19B9J3QSK</t>
  </si>
  <si>
    <t>FBA19BP80YQ1</t>
  </si>
  <si>
    <t>美国空派普货经济线（卡派）</t>
  </si>
  <si>
    <t>目的港查验，1H查验</t>
  </si>
  <si>
    <t>FBA19BP552D6</t>
  </si>
  <si>
    <t>FBA19CDBWFWP</t>
  </si>
  <si>
    <t>美国空派普货促销(包税) /体积除6000-快递派</t>
  </si>
  <si>
    <t>目的港查验，1H 常规人工开箱</t>
  </si>
  <si>
    <t>5/13更新：此票美国时间05.12号已放行；目前等待查验站走内部流程等查验站放货，预计最快美国时间5.13号查验站提回.</t>
  </si>
  <si>
    <t>FBA19CDD56KL</t>
  </si>
  <si>
    <t>FBA19CDD56L7</t>
  </si>
  <si>
    <t>FBA19CDJCCJG</t>
  </si>
  <si>
    <t>FBA19CDJN0MF</t>
  </si>
  <si>
    <t>FBA19C5J2X9Z</t>
  </si>
  <si>
    <t>海关抽查，机查+人工查</t>
  </si>
  <si>
    <t>目前查验柜子还没放行，赶不上船司截关时间，装不上这水船，预计会延至下一趟船期
4/30更新：已放行，赶不上原水船，新船期ETD 5/6</t>
  </si>
  <si>
    <t>FBA19C2DQFPZ</t>
  </si>
  <si>
    <t>FBA19C2F690N</t>
  </si>
  <si>
    <t>FBA19C2G0JNL</t>
  </si>
  <si>
    <t>FBA19C2H2JRQ</t>
  </si>
  <si>
    <t>FBA19C2JMTL0</t>
  </si>
  <si>
    <t>FBA19C2B0WSW</t>
  </si>
  <si>
    <t>FBA19C4KBL3X</t>
  </si>
  <si>
    <t>FBA19CJ2VRN3</t>
  </si>
  <si>
    <t>KP001＋KSP001+KP006+SK001+SK002＋SP001+SR001</t>
  </si>
  <si>
    <t>已放行。延误一水，ETD 5-12  ETA 5-25</t>
  </si>
  <si>
    <t>FBA19CJ61HVJ</t>
  </si>
  <si>
    <t>FBA19CJ74WVZ</t>
  </si>
  <si>
    <t>德速美森限时达-正班</t>
  </si>
  <si>
    <t>已放行。延误一水，ETD 5-13  ETA 5-24</t>
  </si>
  <si>
    <t>FBA19CJ86VFC</t>
  </si>
  <si>
    <t>FBA19CJ1Y52W</t>
  </si>
  <si>
    <t>SK001+SP001</t>
  </si>
  <si>
    <t>CU2快提美转加-2W</t>
  </si>
  <si>
    <t>FBA19CGNJMJ5</t>
  </si>
  <si>
    <t>KP001＋KP006+SP001+SR001</t>
  </si>
  <si>
    <t>5/13更新：美国时间5/12已放行</t>
  </si>
  <si>
    <t>FBA19CHRRS05</t>
  </si>
  <si>
    <t>FBA19CJ2W9VN</t>
  </si>
  <si>
    <t>FBA19C6J0DZ6</t>
  </si>
  <si>
    <t>目的港查验，2H-农业部开箱查</t>
  </si>
  <si>
    <t>5/20更新：已放行。等待回装然后提柜到仓</t>
  </si>
  <si>
    <t>FBA19C6LB1RQ</t>
  </si>
  <si>
    <t>FBA19C6LY241</t>
  </si>
  <si>
    <t>德速美国海速派-美森-正班</t>
  </si>
  <si>
    <t>FBA19D04HNXD</t>
  </si>
  <si>
    <t>出口海关查验</t>
  </si>
  <si>
    <t>FBA19CVQHSM4</t>
  </si>
  <si>
    <t>KP006+SP001</t>
  </si>
  <si>
    <t>目的港查验，1H</t>
  </si>
  <si>
    <t>FBA19CVRYZ48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</si>
</sst>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yyyy/m/d;@"/>
    <numFmt numFmtId="179" formatCode="yyyy/mm/dd;@"/>
  </numFmts>
  <fonts count="2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b/>
      <sz val="11"/>
      <color rgb="FFFF0000"/>
      <name val="宋体"/>
      <charset val="134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4" fontId="0" fillId="0" borderId="0" xfId="0" applyNumberFormat="1" applyAlignment="1">
      <alignment horizontal="center" vertical="center"/>
    </xf>
    <xf numFmtId="58" fontId="4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 wrapText="1"/>
    </xf>
    <xf numFmtId="178" fontId="0" fillId="0" borderId="0" xfId="0" applyNumberFormat="1" applyFill="1" applyAlignment="1">
      <alignment horizontal="center" vertical="center"/>
    </xf>
    <xf numFmtId="0" fontId="4" fillId="0" borderId="0" xfId="0" applyFont="1" applyFill="1" applyAlignment="1">
      <alignment horizontal="left" vertical="center" wrapText="1"/>
    </xf>
    <xf numFmtId="14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7" fillId="2" borderId="0" xfId="0" applyNumberFormat="1" applyFont="1" applyFill="1" applyAlignment="1">
      <alignment horizontal="center" vertical="center"/>
    </xf>
    <xf numFmtId="58" fontId="0" fillId="0" borderId="0" xfId="0" applyNumberFormat="1" applyFill="1" applyAlignment="1">
      <alignment horizontal="center" vertical="center"/>
    </xf>
    <xf numFmtId="0" fontId="0" fillId="0" borderId="0" xfId="0" applyFont="1" applyFill="1" applyAlignment="1">
      <alignment horizontal="left" vertical="center" wrapText="1"/>
    </xf>
    <xf numFmtId="0" fontId="6" fillId="0" borderId="0" xfId="0" applyFont="1" applyFill="1" applyAlignment="1">
      <alignment horizontal="center" vertical="center"/>
    </xf>
    <xf numFmtId="178" fontId="4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left" vertical="center" wrapText="1"/>
    </xf>
    <xf numFmtId="0" fontId="6" fillId="0" borderId="0" xfId="0" applyFont="1" applyBorder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C000"/>
        </patternFill>
      </fill>
    </dxf>
    <dxf>
      <font>
        <color rgb="FFD73434"/>
      </font>
      <fill>
        <patternFill patternType="solid">
          <bgColor rgb="FFFEC8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png"/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pn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25400</xdr:colOff>
      <xdr:row>23</xdr:row>
      <xdr:rowOff>19050</xdr:rowOff>
    </xdr:to>
    <xdr:pic>
      <xdr:nvPicPr>
        <xdr:cNvPr id="4" name="ID_2379718950024BA6B5BCA86EB1A3CEA4" descr="post_object_image_3141806773"/>
        <xdr:cNvPicPr/>
      </xdr:nvPicPr>
      <xdr:blipFill>
        <a:blip r:embed="rId1"/>
        <a:stretch>
          <a:fillRect/>
        </a:stretch>
      </xdr:blipFill>
      <xdr:spPr>
        <a:xfrm>
          <a:off x="0" y="0"/>
          <a:ext cx="2768600" cy="3962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38100</xdr:colOff>
      <xdr:row>18</xdr:row>
      <xdr:rowOff>38100</xdr:rowOff>
    </xdr:to>
    <xdr:pic>
      <xdr:nvPicPr>
        <xdr:cNvPr id="5" name="ID_41176A73349546F7AEC1D05FB64C5190" descr="post_object_image_2406527256"/>
        <xdr:cNvPicPr/>
      </xdr:nvPicPr>
      <xdr:blipFill>
        <a:blip r:embed="rId2"/>
        <a:stretch>
          <a:fillRect/>
        </a:stretch>
      </xdr:blipFill>
      <xdr:spPr>
        <a:xfrm>
          <a:off x="0" y="0"/>
          <a:ext cx="2781300" cy="312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266700</xdr:colOff>
      <xdr:row>13</xdr:row>
      <xdr:rowOff>6350</xdr:rowOff>
    </xdr:to>
    <xdr:pic>
      <xdr:nvPicPr>
        <xdr:cNvPr id="3" name="ID_934C0F4E693C44B782439CF3FF9BD46B" descr="post_object_image_3169108363"/>
        <xdr:cNvPicPr/>
      </xdr:nvPicPr>
      <xdr:blipFill>
        <a:blip r:embed="rId3"/>
        <a:stretch>
          <a:fillRect/>
        </a:stretch>
      </xdr:blipFill>
      <xdr:spPr>
        <a:xfrm>
          <a:off x="0" y="0"/>
          <a:ext cx="1638300" cy="223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38100</xdr:colOff>
      <xdr:row>19</xdr:row>
      <xdr:rowOff>76200</xdr:rowOff>
    </xdr:to>
    <xdr:pic>
      <xdr:nvPicPr>
        <xdr:cNvPr id="10" name="ID_737352BCD0CE4FC2AEBF9D8E90F307B7" descr="post_object_image_2933128297"/>
        <xdr:cNvPicPr/>
      </xdr:nvPicPr>
      <xdr:blipFill>
        <a:blip r:embed="rId4"/>
        <a:stretch>
          <a:fillRect/>
        </a:stretch>
      </xdr:blipFill>
      <xdr:spPr>
        <a:xfrm>
          <a:off x="0" y="0"/>
          <a:ext cx="3467100" cy="3333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457200</xdr:colOff>
      <xdr:row>22</xdr:row>
      <xdr:rowOff>25400</xdr:rowOff>
    </xdr:to>
    <xdr:pic>
      <xdr:nvPicPr>
        <xdr:cNvPr id="13" name="ID_158D6902F0E042DE8EE4ACC919F1C263" descr="post_object_image_1760487547"/>
        <xdr:cNvPicPr/>
      </xdr:nvPicPr>
      <xdr:blipFill>
        <a:blip r:embed="rId5"/>
        <a:stretch>
          <a:fillRect/>
        </a:stretch>
      </xdr:blipFill>
      <xdr:spPr>
        <a:xfrm>
          <a:off x="0" y="0"/>
          <a:ext cx="1828800" cy="3797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495300</xdr:colOff>
      <xdr:row>26</xdr:row>
      <xdr:rowOff>139700</xdr:rowOff>
    </xdr:to>
    <xdr:pic>
      <xdr:nvPicPr>
        <xdr:cNvPr id="12" name="ID_1F9206A4BF9A45FFBDBE186585BF1015" descr="post_object_image_140683306"/>
        <xdr:cNvPicPr/>
      </xdr:nvPicPr>
      <xdr:blipFill>
        <a:blip r:embed="rId6"/>
        <a:stretch>
          <a:fillRect/>
        </a:stretch>
      </xdr:blipFill>
      <xdr:spPr>
        <a:xfrm>
          <a:off x="0" y="0"/>
          <a:ext cx="1866900" cy="4597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7</xdr:col>
      <xdr:colOff>12700</xdr:colOff>
      <xdr:row>9</xdr:row>
      <xdr:rowOff>31750</xdr:rowOff>
    </xdr:to>
    <xdr:pic>
      <xdr:nvPicPr>
        <xdr:cNvPr id="14" name="ID_899B0DD7D6814291B8FFFA033A6B8F52" descr="post_object_image_2012314091"/>
        <xdr:cNvPicPr/>
      </xdr:nvPicPr>
      <xdr:blipFill>
        <a:blip r:embed="rId7"/>
        <a:stretch>
          <a:fillRect/>
        </a:stretch>
      </xdr:blipFill>
      <xdr:spPr>
        <a:xfrm>
          <a:off x="0" y="0"/>
          <a:ext cx="4813300" cy="1574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431800</xdr:colOff>
      <xdr:row>14</xdr:row>
      <xdr:rowOff>38100</xdr:rowOff>
    </xdr:to>
    <xdr:pic>
      <xdr:nvPicPr>
        <xdr:cNvPr id="15" name="ID_3054F46BB86C42929225CC1D06423939" descr="post_object_image_2155058339"/>
        <xdr:cNvPicPr/>
      </xdr:nvPicPr>
      <xdr:blipFill>
        <a:blip r:embed="rId8"/>
        <a:stretch>
          <a:fillRect/>
        </a:stretch>
      </xdr:blipFill>
      <xdr:spPr>
        <a:xfrm>
          <a:off x="0" y="0"/>
          <a:ext cx="1803400" cy="2438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482600</xdr:colOff>
      <xdr:row>6</xdr:row>
      <xdr:rowOff>38100</xdr:rowOff>
    </xdr:to>
    <xdr:pic>
      <xdr:nvPicPr>
        <xdr:cNvPr id="16" name="ID_27FC3A75D7C74ACF92F877FABF3AB021" descr="post_object_image_580252985"/>
        <xdr:cNvPicPr/>
      </xdr:nvPicPr>
      <xdr:blipFill>
        <a:blip r:embed="rId9"/>
        <a:stretch>
          <a:fillRect/>
        </a:stretch>
      </xdr:blipFill>
      <xdr:spPr>
        <a:xfrm>
          <a:off x="0" y="0"/>
          <a:ext cx="1854200" cy="1066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Y112"/>
  <sheetViews>
    <sheetView tabSelected="1" workbookViewId="0">
      <pane xSplit="7" ySplit="1" topLeftCell="L2" activePane="bottomRight" state="frozen"/>
      <selection/>
      <selection pane="topRight"/>
      <selection pane="bottomLeft"/>
      <selection pane="bottomRight" activeCell="N126" sqref="N126"/>
    </sheetView>
  </sheetViews>
  <sheetFormatPr defaultColWidth="8.8" defaultRowHeight="18" customHeight="1"/>
  <cols>
    <col min="1" max="1" width="7.375" style="3" customWidth="1"/>
    <col min="2" max="2" width="13.75" style="3" customWidth="1"/>
    <col min="3" max="3" width="17.125" style="3" customWidth="1"/>
    <col min="4" max="4" width="9.375" style="3" customWidth="1"/>
    <col min="5" max="5" width="18.625" style="4" customWidth="1"/>
    <col min="6" max="6" width="11.5" style="5" customWidth="1"/>
    <col min="7" max="7" width="7.375" style="3" customWidth="1"/>
    <col min="8" max="8" width="22.125" style="6" customWidth="1"/>
    <col min="9" max="9" width="13.75" style="3" customWidth="1"/>
    <col min="10" max="10" width="34.875" style="4" customWidth="1"/>
    <col min="11" max="11" width="16.275" style="4" customWidth="1"/>
    <col min="12" max="12" width="12.9916666666667" style="3" customWidth="1"/>
    <col min="13" max="13" width="13.6" style="7" customWidth="1"/>
    <col min="14" max="14" width="67" style="6" customWidth="1"/>
    <col min="15" max="15" width="24.875" style="3" hidden="1" customWidth="1"/>
    <col min="16" max="16" width="42.125" style="3" hidden="1" customWidth="1"/>
    <col min="17" max="17" width="45.625" style="3" hidden="1" customWidth="1"/>
    <col min="18" max="18" width="20.25" style="3" hidden="1" customWidth="1"/>
    <col min="19" max="19" width="21.25" style="3" customWidth="1"/>
    <col min="20" max="20" width="19.375" style="3" customWidth="1"/>
    <col min="21" max="23" width="13.75" style="3" customWidth="1"/>
    <col min="24" max="24" width="18.25" style="3" customWidth="1"/>
    <col min="25" max="25" width="24.875" style="3" customWidth="1"/>
    <col min="26" max="16384" width="8.8" style="3"/>
  </cols>
  <sheetData>
    <row r="1" s="1" customFormat="1" customHeight="1" spans="1:25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9" t="s">
        <v>9</v>
      </c>
      <c r="K1" s="12" t="s">
        <v>10</v>
      </c>
      <c r="L1" s="8" t="s">
        <v>11</v>
      </c>
      <c r="M1" s="13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14" t="s">
        <v>17</v>
      </c>
      <c r="S1" s="8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6" t="s">
        <v>23</v>
      </c>
      <c r="Y1" s="16" t="s">
        <v>24</v>
      </c>
    </row>
    <row r="2" ht="176.55" hidden="1" customHeight="1" spans="1:25">
      <c r="A2" s="17" t="s">
        <v>25</v>
      </c>
      <c r="B2" s="17" t="s">
        <v>26</v>
      </c>
      <c r="C2" s="18" t="s">
        <v>27</v>
      </c>
      <c r="D2" s="18">
        <v>380</v>
      </c>
      <c r="E2" s="18" t="s">
        <v>28</v>
      </c>
      <c r="F2" s="5">
        <v>46017</v>
      </c>
      <c r="G2" s="17" t="s">
        <v>29</v>
      </c>
      <c r="H2" s="19" t="s">
        <v>30</v>
      </c>
      <c r="I2" s="20">
        <v>46027</v>
      </c>
      <c r="J2" s="18" t="s">
        <v>31</v>
      </c>
      <c r="K2" s="18" t="s">
        <v>32</v>
      </c>
      <c r="L2" s="21">
        <v>46107</v>
      </c>
      <c r="M2" s="7">
        <f ca="1">IF(L2="暂未",TODAY()-I2,L2-I2)</f>
        <v>80</v>
      </c>
      <c r="N2" s="19" t="s">
        <v>33</v>
      </c>
      <c r="O2" s="17" t="s">
        <v>34</v>
      </c>
      <c r="P2" s="18" t="s">
        <v>35</v>
      </c>
      <c r="Q2" s="18" t="s">
        <v>36</v>
      </c>
      <c r="R2" s="22" t="s">
        <v>37</v>
      </c>
      <c r="S2" s="18" t="s">
        <v>38</v>
      </c>
      <c r="T2" s="3" t="s">
        <v>39</v>
      </c>
      <c r="U2" s="3" t="s">
        <v>32</v>
      </c>
      <c r="W2" s="20">
        <v>46107</v>
      </c>
    </row>
    <row r="3" ht="85" hidden="1" customHeight="1" spans="1:25">
      <c r="A3" s="17" t="s">
        <v>40</v>
      </c>
      <c r="B3" s="17" t="s">
        <v>41</v>
      </c>
      <c r="C3" s="17" t="s">
        <v>42</v>
      </c>
      <c r="D3" s="3">
        <v>850</v>
      </c>
      <c r="E3" s="4">
        <v>102</v>
      </c>
      <c r="F3" s="5">
        <v>45996</v>
      </c>
      <c r="G3" s="17" t="s">
        <v>29</v>
      </c>
      <c r="H3" s="19" t="s">
        <v>30</v>
      </c>
      <c r="I3" s="5">
        <v>46002</v>
      </c>
      <c r="J3" s="18" t="s">
        <v>43</v>
      </c>
      <c r="K3" s="18" t="s">
        <v>44</v>
      </c>
      <c r="L3" s="17" t="s">
        <v>45</v>
      </c>
      <c r="M3" s="7">
        <f ca="1">IF(L3="暂未",TODAY()-I3,L3-I3)</f>
        <v>166</v>
      </c>
      <c r="N3" s="19" t="s">
        <v>46</v>
      </c>
      <c r="O3" s="17" t="s">
        <v>34</v>
      </c>
      <c r="P3" s="18" t="s">
        <v>35</v>
      </c>
      <c r="Q3" s="18" t="s">
        <v>36</v>
      </c>
      <c r="R3" s="23" t="s">
        <v>47</v>
      </c>
      <c r="S3" s="18" t="s">
        <v>38</v>
      </c>
      <c r="T3" s="17" t="s">
        <v>39</v>
      </c>
      <c r="U3" s="3" t="s">
        <v>32</v>
      </c>
    </row>
    <row r="4" hidden="1" customHeight="1" spans="1:25">
      <c r="A4" s="17" t="s">
        <v>48</v>
      </c>
      <c r="B4" s="17" t="s">
        <v>49</v>
      </c>
      <c r="C4" s="3" t="s">
        <v>50</v>
      </c>
      <c r="D4" s="2">
        <v>490</v>
      </c>
      <c r="E4" s="18" t="s">
        <v>51</v>
      </c>
      <c r="F4" s="5">
        <v>46028</v>
      </c>
      <c r="G4" s="17" t="s">
        <v>52</v>
      </c>
      <c r="H4" s="19" t="s">
        <v>53</v>
      </c>
      <c r="I4" s="5">
        <v>46050</v>
      </c>
      <c r="J4" s="18" t="s">
        <v>54</v>
      </c>
      <c r="K4" s="18" t="s">
        <v>32</v>
      </c>
      <c r="L4" s="17" t="s">
        <v>45</v>
      </c>
      <c r="M4" s="7">
        <f ca="1">IF(L4="暂未",TODAY()-I4,L4-I4)</f>
        <v>118</v>
      </c>
      <c r="N4" s="11" t="s">
        <v>55</v>
      </c>
      <c r="P4" s="18" t="s">
        <v>56</v>
      </c>
      <c r="Q4" s="18" t="s">
        <v>57</v>
      </c>
      <c r="S4" s="18" t="str">
        <f>_xlfn.DISPIMG("ID_737352BCD0CE4FC2AEBF9D8E90F307B7",1)</f>
        <v>=DISPIMG("ID_737352BCD0CE4FC2AEBF9D8E90F307B7",1)</v>
      </c>
      <c r="T4" s="3" t="s">
        <v>39</v>
      </c>
      <c r="U4" s="3" t="s">
        <v>32</v>
      </c>
    </row>
    <row r="5" hidden="1" customHeight="1" spans="1:25">
      <c r="A5" s="17" t="s">
        <v>48</v>
      </c>
      <c r="B5" s="17" t="s">
        <v>49</v>
      </c>
      <c r="C5" s="3" t="s">
        <v>58</v>
      </c>
      <c r="D5" s="2">
        <v>205</v>
      </c>
      <c r="E5" s="18" t="s">
        <v>51</v>
      </c>
      <c r="F5" s="5">
        <v>46028</v>
      </c>
      <c r="G5" s="17" t="s">
        <v>52</v>
      </c>
      <c r="H5" s="19" t="s">
        <v>53</v>
      </c>
      <c r="I5" s="5">
        <v>46050</v>
      </c>
      <c r="J5" s="18"/>
      <c r="K5" s="18" t="s">
        <v>32</v>
      </c>
      <c r="L5" s="17" t="s">
        <v>45</v>
      </c>
      <c r="M5" s="7">
        <f ca="1">IF(L5="暂未",TODAY()-I5,L5-I5)</f>
        <v>118</v>
      </c>
      <c r="N5" s="19"/>
      <c r="S5" s="4"/>
      <c r="T5" s="3" t="s">
        <v>39</v>
      </c>
      <c r="U5" s="3" t="s">
        <v>32</v>
      </c>
    </row>
    <row r="6" s="2" customFormat="1" ht="46.5" hidden="1" customHeight="1" spans="1:25">
      <c r="A6" s="24" t="s">
        <v>48</v>
      </c>
      <c r="B6" s="24" t="s">
        <v>59</v>
      </c>
      <c r="C6" s="2" t="s">
        <v>60</v>
      </c>
      <c r="D6" s="2">
        <v>43</v>
      </c>
      <c r="E6" s="25" t="s">
        <v>61</v>
      </c>
      <c r="F6" s="26">
        <v>46079</v>
      </c>
      <c r="G6" s="24" t="s">
        <v>52</v>
      </c>
      <c r="H6" s="27" t="s">
        <v>53</v>
      </c>
      <c r="I6" s="26">
        <v>46083</v>
      </c>
      <c r="J6" s="25" t="s">
        <v>62</v>
      </c>
      <c r="K6" s="25" t="s">
        <v>32</v>
      </c>
      <c r="L6" s="28">
        <v>46094</v>
      </c>
      <c r="M6" s="29">
        <f ca="1">IF(L6="暂未",TODAY()-I6,L6-I6)</f>
        <v>11</v>
      </c>
      <c r="N6" s="27" t="s">
        <v>63</v>
      </c>
      <c r="O6" s="24" t="s">
        <v>34</v>
      </c>
      <c r="P6" s="24"/>
      <c r="T6" s="2" t="s">
        <v>32</v>
      </c>
      <c r="U6" s="2" t="s">
        <v>39</v>
      </c>
      <c r="V6" s="28">
        <v>46094</v>
      </c>
    </row>
    <row r="7" s="2" customFormat="1" ht="52.5" hidden="1" customHeight="1" spans="1:25">
      <c r="A7" s="24" t="s">
        <v>48</v>
      </c>
      <c r="B7" s="24" t="s">
        <v>49</v>
      </c>
      <c r="C7" s="2" t="s">
        <v>64</v>
      </c>
      <c r="D7" s="30">
        <v>1052</v>
      </c>
      <c r="E7" s="25" t="s">
        <v>65</v>
      </c>
      <c r="F7" s="26">
        <v>46080</v>
      </c>
      <c r="G7" s="24" t="s">
        <v>66</v>
      </c>
      <c r="H7" s="31" t="s">
        <v>67</v>
      </c>
      <c r="I7" s="26">
        <v>46095</v>
      </c>
      <c r="J7" s="25" t="s">
        <v>68</v>
      </c>
      <c r="K7" s="25" t="s">
        <v>32</v>
      </c>
      <c r="L7" s="28">
        <v>46140</v>
      </c>
      <c r="M7" s="32">
        <f ca="1">IF(L7="暂未",TODAY()-I7,L7-I7)</f>
        <v>45</v>
      </c>
      <c r="N7" s="27" t="s">
        <v>69</v>
      </c>
      <c r="P7" s="24" t="s">
        <v>70</v>
      </c>
      <c r="Q7" s="24" t="s">
        <v>71</v>
      </c>
      <c r="S7" s="33"/>
      <c r="T7" s="2" t="s">
        <v>32</v>
      </c>
      <c r="U7" s="2" t="s">
        <v>32</v>
      </c>
      <c r="V7" s="28">
        <v>46084</v>
      </c>
      <c r="W7" s="28">
        <v>46140</v>
      </c>
    </row>
    <row r="8" s="2" customFormat="1" ht="45" hidden="1" customHeight="1" spans="1:25">
      <c r="A8" s="24" t="s">
        <v>48</v>
      </c>
      <c r="B8" s="24" t="s">
        <v>49</v>
      </c>
      <c r="C8" s="2" t="s">
        <v>72</v>
      </c>
      <c r="D8" s="30">
        <v>760</v>
      </c>
      <c r="E8" s="25" t="s">
        <v>65</v>
      </c>
      <c r="F8" s="26">
        <v>46080</v>
      </c>
      <c r="G8" s="24" t="s">
        <v>66</v>
      </c>
      <c r="H8" s="31" t="s">
        <v>67</v>
      </c>
      <c r="I8" s="26">
        <v>46095</v>
      </c>
      <c r="J8" s="25"/>
      <c r="K8" s="25" t="s">
        <v>32</v>
      </c>
      <c r="L8" s="28">
        <v>46140</v>
      </c>
      <c r="M8" s="32">
        <f ca="1">IF(L8="暂未",TODAY()-I8,L8-I8)</f>
        <v>45</v>
      </c>
      <c r="N8" s="34"/>
      <c r="Q8" s="24"/>
      <c r="T8" s="2" t="s">
        <v>32</v>
      </c>
      <c r="U8" s="2" t="s">
        <v>32</v>
      </c>
      <c r="V8" s="28">
        <v>46084</v>
      </c>
      <c r="W8" s="28">
        <v>46140</v>
      </c>
    </row>
    <row r="9" s="2" customFormat="1" ht="66.75" hidden="1" customHeight="1" spans="1:25">
      <c r="A9" s="24" t="s">
        <v>48</v>
      </c>
      <c r="B9" s="24" t="s">
        <v>49</v>
      </c>
      <c r="C9" s="2" t="s">
        <v>73</v>
      </c>
      <c r="D9" s="30">
        <v>810</v>
      </c>
      <c r="E9" s="25" t="s">
        <v>65</v>
      </c>
      <c r="F9" s="26">
        <v>46080</v>
      </c>
      <c r="G9" s="24" t="s">
        <v>66</v>
      </c>
      <c r="H9" s="31" t="s">
        <v>67</v>
      </c>
      <c r="I9" s="26">
        <v>46095</v>
      </c>
      <c r="J9" s="25"/>
      <c r="K9" s="25" t="s">
        <v>32</v>
      </c>
      <c r="L9" s="28">
        <v>46140</v>
      </c>
      <c r="M9" s="32">
        <f ca="1">IF(L9="暂未",TODAY()-I9,L9-I9)</f>
        <v>45</v>
      </c>
      <c r="N9" s="34"/>
      <c r="Q9" s="24"/>
      <c r="T9" s="2" t="s">
        <v>32</v>
      </c>
      <c r="U9" s="2" t="s">
        <v>32</v>
      </c>
      <c r="V9" s="28">
        <v>46084</v>
      </c>
      <c r="W9" s="28">
        <v>46140</v>
      </c>
    </row>
    <row r="10" s="2" customFormat="1" ht="27" hidden="1" spans="1:25">
      <c r="A10" s="24" t="s">
        <v>48</v>
      </c>
      <c r="B10" s="24" t="s">
        <v>49</v>
      </c>
      <c r="C10" s="24" t="s">
        <v>74</v>
      </c>
      <c r="D10" s="2">
        <v>102</v>
      </c>
      <c r="E10" s="25" t="s">
        <v>75</v>
      </c>
      <c r="F10" s="26">
        <v>46083</v>
      </c>
      <c r="G10" s="24" t="s">
        <v>52</v>
      </c>
      <c r="H10" s="27" t="s">
        <v>76</v>
      </c>
      <c r="I10" s="26">
        <v>46088</v>
      </c>
      <c r="J10" s="25" t="s">
        <v>77</v>
      </c>
      <c r="K10" s="18" t="s">
        <v>32</v>
      </c>
      <c r="L10" s="28">
        <v>46094</v>
      </c>
      <c r="M10" s="29">
        <f ca="1" t="shared" ref="M10:M38" si="0">IF(L10="暂未",TODAY()-I10,L10-I10)</f>
        <v>6</v>
      </c>
      <c r="N10" s="27" t="s">
        <v>78</v>
      </c>
      <c r="T10" s="2" t="s">
        <v>39</v>
      </c>
      <c r="U10" s="2" t="s">
        <v>32</v>
      </c>
      <c r="W10" s="28">
        <v>46094</v>
      </c>
    </row>
    <row r="11" s="2" customFormat="1" ht="27" hidden="1" spans="1:25">
      <c r="A11" s="24" t="s">
        <v>48</v>
      </c>
      <c r="B11" s="24" t="s">
        <v>49</v>
      </c>
      <c r="C11" s="24" t="s">
        <v>79</v>
      </c>
      <c r="D11" s="2">
        <v>29</v>
      </c>
      <c r="E11" s="25" t="s">
        <v>65</v>
      </c>
      <c r="F11" s="26">
        <v>46079</v>
      </c>
      <c r="G11" s="24" t="s">
        <v>52</v>
      </c>
      <c r="H11" s="27" t="s">
        <v>76</v>
      </c>
      <c r="I11" s="26">
        <v>46086</v>
      </c>
      <c r="J11" s="25" t="s">
        <v>77</v>
      </c>
      <c r="K11" s="18" t="s">
        <v>32</v>
      </c>
      <c r="L11" s="28">
        <v>46094</v>
      </c>
      <c r="M11" s="29">
        <f ca="1" t="shared" si="0"/>
        <v>8</v>
      </c>
      <c r="N11" s="27" t="s">
        <v>78</v>
      </c>
      <c r="T11" s="2" t="s">
        <v>39</v>
      </c>
      <c r="U11" s="2" t="s">
        <v>32</v>
      </c>
      <c r="W11" s="28">
        <v>46094</v>
      </c>
    </row>
    <row r="12" s="2" customFormat="1" ht="27.75" hidden="1" customHeight="1" spans="1:25">
      <c r="A12" s="24" t="s">
        <v>25</v>
      </c>
      <c r="B12" s="24" t="s">
        <v>26</v>
      </c>
      <c r="C12" s="2" t="s">
        <v>80</v>
      </c>
      <c r="D12" s="2">
        <v>103</v>
      </c>
      <c r="E12" s="25" t="s">
        <v>81</v>
      </c>
      <c r="F12" s="26">
        <v>46080</v>
      </c>
      <c r="G12" s="24" t="s">
        <v>52</v>
      </c>
      <c r="H12" s="27" t="s">
        <v>76</v>
      </c>
      <c r="I12" s="26">
        <v>46086</v>
      </c>
      <c r="J12" s="25" t="s">
        <v>77</v>
      </c>
      <c r="K12" s="18" t="s">
        <v>32</v>
      </c>
      <c r="L12" s="28">
        <v>46094</v>
      </c>
      <c r="M12" s="29">
        <f ca="1" t="shared" si="0"/>
        <v>8</v>
      </c>
      <c r="N12" s="27" t="s">
        <v>82</v>
      </c>
      <c r="T12" s="3" t="s">
        <v>39</v>
      </c>
      <c r="U12" s="2" t="s">
        <v>32</v>
      </c>
      <c r="W12" s="28">
        <v>46094</v>
      </c>
    </row>
    <row r="13" s="2" customFormat="1" ht="27.75" hidden="1" customHeight="1" spans="1:25">
      <c r="A13" s="24" t="s">
        <v>25</v>
      </c>
      <c r="B13" s="24" t="s">
        <v>26</v>
      </c>
      <c r="C13" s="2" t="s">
        <v>83</v>
      </c>
      <c r="D13" s="2">
        <v>103</v>
      </c>
      <c r="E13" s="25" t="s">
        <v>81</v>
      </c>
      <c r="F13" s="26">
        <v>46080</v>
      </c>
      <c r="G13" s="24" t="s">
        <v>52</v>
      </c>
      <c r="H13" s="27" t="s">
        <v>76</v>
      </c>
      <c r="I13" s="26">
        <v>46086</v>
      </c>
      <c r="J13" s="25"/>
      <c r="K13" s="18" t="s">
        <v>32</v>
      </c>
      <c r="L13" s="28">
        <v>46094</v>
      </c>
      <c r="M13" s="29">
        <f ca="1" t="shared" si="0"/>
        <v>8</v>
      </c>
      <c r="N13" s="31"/>
      <c r="T13" s="3" t="s">
        <v>39</v>
      </c>
      <c r="U13" s="2" t="s">
        <v>32</v>
      </c>
      <c r="W13" s="28">
        <v>46094</v>
      </c>
    </row>
    <row r="14" s="2" customFormat="1" ht="27.75" hidden="1" customHeight="1" spans="1:25">
      <c r="A14" s="24" t="s">
        <v>25</v>
      </c>
      <c r="B14" s="24" t="s">
        <v>26</v>
      </c>
      <c r="C14" s="2" t="s">
        <v>84</v>
      </c>
      <c r="D14" s="2">
        <v>103</v>
      </c>
      <c r="E14" s="25" t="s">
        <v>81</v>
      </c>
      <c r="F14" s="26">
        <v>46080</v>
      </c>
      <c r="G14" s="24" t="s">
        <v>52</v>
      </c>
      <c r="H14" s="27" t="s">
        <v>76</v>
      </c>
      <c r="I14" s="26">
        <v>46086</v>
      </c>
      <c r="J14" s="25"/>
      <c r="K14" s="18" t="s">
        <v>32</v>
      </c>
      <c r="L14" s="28">
        <v>46094</v>
      </c>
      <c r="M14" s="29">
        <f ca="1" t="shared" si="0"/>
        <v>8</v>
      </c>
      <c r="N14" s="31"/>
      <c r="T14" s="3" t="s">
        <v>39</v>
      </c>
      <c r="U14" s="2" t="s">
        <v>32</v>
      </c>
      <c r="W14" s="28">
        <v>46094</v>
      </c>
    </row>
    <row r="15" s="2" customFormat="1" ht="27.75" hidden="1" customHeight="1" spans="1:25">
      <c r="A15" s="24" t="s">
        <v>25</v>
      </c>
      <c r="B15" s="24" t="s">
        <v>26</v>
      </c>
      <c r="C15" s="2" t="s">
        <v>85</v>
      </c>
      <c r="D15" s="2">
        <v>103</v>
      </c>
      <c r="E15" s="25" t="s">
        <v>81</v>
      </c>
      <c r="F15" s="26">
        <v>46080</v>
      </c>
      <c r="G15" s="24" t="s">
        <v>52</v>
      </c>
      <c r="H15" s="27" t="s">
        <v>76</v>
      </c>
      <c r="I15" s="26">
        <v>46086</v>
      </c>
      <c r="J15" s="25"/>
      <c r="K15" s="18" t="s">
        <v>32</v>
      </c>
      <c r="L15" s="28">
        <v>46094</v>
      </c>
      <c r="M15" s="29">
        <f ca="1" t="shared" si="0"/>
        <v>8</v>
      </c>
      <c r="N15" s="31"/>
      <c r="T15" s="3" t="s">
        <v>39</v>
      </c>
      <c r="U15" s="2" t="s">
        <v>32</v>
      </c>
      <c r="W15" s="28">
        <v>46094</v>
      </c>
    </row>
    <row r="16" s="2" customFormat="1" ht="27.75" hidden="1" customHeight="1" spans="1:25">
      <c r="A16" s="24" t="s">
        <v>25</v>
      </c>
      <c r="B16" s="24" t="s">
        <v>26</v>
      </c>
      <c r="C16" s="2" t="s">
        <v>86</v>
      </c>
      <c r="D16" s="2">
        <v>103</v>
      </c>
      <c r="E16" s="25" t="s">
        <v>81</v>
      </c>
      <c r="F16" s="26">
        <v>46080</v>
      </c>
      <c r="G16" s="24" t="s">
        <v>52</v>
      </c>
      <c r="H16" s="27" t="s">
        <v>76</v>
      </c>
      <c r="I16" s="26">
        <v>46086</v>
      </c>
      <c r="J16" s="25"/>
      <c r="K16" s="18" t="s">
        <v>32</v>
      </c>
      <c r="L16" s="28">
        <v>46094</v>
      </c>
      <c r="M16" s="29">
        <f ca="1" t="shared" si="0"/>
        <v>8</v>
      </c>
      <c r="N16" s="31"/>
      <c r="T16" s="3" t="s">
        <v>39</v>
      </c>
      <c r="U16" s="2" t="s">
        <v>32</v>
      </c>
      <c r="W16" s="28">
        <v>46094</v>
      </c>
    </row>
    <row r="17" s="2" customFormat="1" hidden="1" customHeight="1" spans="1:23">
      <c r="A17" s="24" t="s">
        <v>87</v>
      </c>
      <c r="B17" s="24" t="s">
        <v>88</v>
      </c>
      <c r="C17" s="35" t="s">
        <v>89</v>
      </c>
      <c r="D17" s="2">
        <v>80</v>
      </c>
      <c r="E17" s="25" t="s">
        <v>90</v>
      </c>
      <c r="F17" s="26">
        <v>46078</v>
      </c>
      <c r="G17" s="24" t="s">
        <v>52</v>
      </c>
      <c r="H17" s="27" t="s">
        <v>76</v>
      </c>
      <c r="I17" s="26">
        <v>46086</v>
      </c>
      <c r="J17" s="25" t="s">
        <v>77</v>
      </c>
      <c r="K17" s="18" t="s">
        <v>32</v>
      </c>
      <c r="L17" s="28">
        <v>46094</v>
      </c>
      <c r="M17" s="29">
        <f ca="1" t="shared" si="0"/>
        <v>8</v>
      </c>
      <c r="N17" s="27" t="s">
        <v>82</v>
      </c>
      <c r="T17" s="3" t="s">
        <v>39</v>
      </c>
      <c r="U17" s="3" t="s">
        <v>32</v>
      </c>
      <c r="W17" s="36">
        <v>46094</v>
      </c>
    </row>
    <row r="18" s="2" customFormat="1" hidden="1" customHeight="1" spans="1:23">
      <c r="A18" s="24" t="s">
        <v>87</v>
      </c>
      <c r="B18" s="24" t="s">
        <v>88</v>
      </c>
      <c r="C18" s="35" t="s">
        <v>91</v>
      </c>
      <c r="D18" s="2">
        <v>80</v>
      </c>
      <c r="E18" s="25" t="s">
        <v>90</v>
      </c>
      <c r="F18" s="26">
        <v>46078</v>
      </c>
      <c r="G18" s="24" t="s">
        <v>52</v>
      </c>
      <c r="H18" s="27" t="s">
        <v>76</v>
      </c>
      <c r="I18" s="26">
        <v>46086</v>
      </c>
      <c r="J18" s="25"/>
      <c r="K18" s="18" t="s">
        <v>32</v>
      </c>
      <c r="L18" s="28">
        <v>46094</v>
      </c>
      <c r="M18" s="29">
        <f ca="1" t="shared" si="0"/>
        <v>8</v>
      </c>
      <c r="N18" s="31"/>
      <c r="T18" s="3" t="s">
        <v>39</v>
      </c>
      <c r="U18" s="3" t="s">
        <v>32</v>
      </c>
      <c r="W18" s="36">
        <v>46094</v>
      </c>
    </row>
    <row r="19" s="2" customFormat="1" hidden="1" customHeight="1" spans="1:23">
      <c r="A19" s="24" t="s">
        <v>87</v>
      </c>
      <c r="B19" s="24" t="s">
        <v>88</v>
      </c>
      <c r="C19" s="35" t="s">
        <v>92</v>
      </c>
      <c r="D19" s="2">
        <v>80</v>
      </c>
      <c r="E19" s="25" t="s">
        <v>90</v>
      </c>
      <c r="F19" s="26">
        <v>46078</v>
      </c>
      <c r="G19" s="24" t="s">
        <v>52</v>
      </c>
      <c r="H19" s="27" t="s">
        <v>76</v>
      </c>
      <c r="I19" s="26">
        <v>46086</v>
      </c>
      <c r="J19" s="25"/>
      <c r="K19" s="18" t="s">
        <v>32</v>
      </c>
      <c r="L19" s="28">
        <v>46094</v>
      </c>
      <c r="M19" s="29">
        <f ca="1" t="shared" si="0"/>
        <v>8</v>
      </c>
      <c r="N19" s="31"/>
      <c r="T19" s="3" t="s">
        <v>39</v>
      </c>
      <c r="U19" s="3" t="s">
        <v>32</v>
      </c>
      <c r="W19" s="36">
        <v>46094</v>
      </c>
    </row>
    <row r="20" s="2" customFormat="1" hidden="1" customHeight="1" spans="1:23">
      <c r="A20" s="24" t="s">
        <v>87</v>
      </c>
      <c r="B20" s="24" t="s">
        <v>88</v>
      </c>
      <c r="C20" s="35" t="s">
        <v>93</v>
      </c>
      <c r="D20" s="2">
        <v>80</v>
      </c>
      <c r="E20" s="25" t="s">
        <v>90</v>
      </c>
      <c r="F20" s="26">
        <v>46078</v>
      </c>
      <c r="G20" s="24" t="s">
        <v>52</v>
      </c>
      <c r="H20" s="27" t="s">
        <v>76</v>
      </c>
      <c r="I20" s="26">
        <v>46086</v>
      </c>
      <c r="J20" s="25"/>
      <c r="K20" s="18" t="s">
        <v>32</v>
      </c>
      <c r="L20" s="28">
        <v>46094</v>
      </c>
      <c r="M20" s="29">
        <f ca="1" t="shared" si="0"/>
        <v>8</v>
      </c>
      <c r="N20" s="31"/>
      <c r="T20" s="3" t="s">
        <v>39</v>
      </c>
      <c r="U20" s="3" t="s">
        <v>32</v>
      </c>
      <c r="W20" s="36">
        <v>46094</v>
      </c>
    </row>
    <row r="21" s="2" customFormat="1" hidden="1" customHeight="1" spans="1:23">
      <c r="A21" s="24" t="s">
        <v>87</v>
      </c>
      <c r="B21" s="24" t="s">
        <v>88</v>
      </c>
      <c r="C21" s="35" t="s">
        <v>94</v>
      </c>
      <c r="D21" s="2">
        <v>80</v>
      </c>
      <c r="E21" s="25" t="s">
        <v>90</v>
      </c>
      <c r="F21" s="26">
        <v>46078</v>
      </c>
      <c r="G21" s="24" t="s">
        <v>52</v>
      </c>
      <c r="H21" s="27" t="s">
        <v>76</v>
      </c>
      <c r="I21" s="26">
        <v>46086</v>
      </c>
      <c r="J21" s="25"/>
      <c r="K21" s="18" t="s">
        <v>32</v>
      </c>
      <c r="L21" s="28">
        <v>46094</v>
      </c>
      <c r="M21" s="29">
        <f ca="1" t="shared" si="0"/>
        <v>8</v>
      </c>
      <c r="N21" s="31"/>
      <c r="T21" s="3" t="s">
        <v>39</v>
      </c>
      <c r="U21" s="3" t="s">
        <v>32</v>
      </c>
      <c r="W21" s="36">
        <v>46094</v>
      </c>
    </row>
    <row r="22" s="2" customFormat="1" hidden="1" customHeight="1" spans="1:23">
      <c r="A22" s="24" t="s">
        <v>95</v>
      </c>
      <c r="B22" s="24" t="s">
        <v>96</v>
      </c>
      <c r="C22" s="2" t="s">
        <v>97</v>
      </c>
      <c r="D22" s="2">
        <v>1010</v>
      </c>
      <c r="E22" s="25" t="s">
        <v>98</v>
      </c>
      <c r="F22" s="26">
        <v>46080</v>
      </c>
      <c r="G22" s="24" t="s">
        <v>52</v>
      </c>
      <c r="H22" s="27" t="s">
        <v>76</v>
      </c>
      <c r="I22" s="26">
        <v>46086</v>
      </c>
      <c r="J22" s="25" t="s">
        <v>77</v>
      </c>
      <c r="K22" s="18" t="s">
        <v>32</v>
      </c>
      <c r="L22" s="28">
        <v>46094</v>
      </c>
      <c r="M22" s="29">
        <f ca="1" t="shared" si="0"/>
        <v>8</v>
      </c>
      <c r="N22" s="27" t="s">
        <v>82</v>
      </c>
      <c r="T22" s="2" t="s">
        <v>39</v>
      </c>
      <c r="U22" s="2" t="s">
        <v>32</v>
      </c>
      <c r="V22" s="26"/>
      <c r="W22" s="36">
        <f>L22</f>
        <v>46094</v>
      </c>
    </row>
    <row r="23" s="2" customFormat="1" hidden="1" customHeight="1" spans="1:23">
      <c r="A23" s="24" t="s">
        <v>95</v>
      </c>
      <c r="B23" s="24" t="s">
        <v>96</v>
      </c>
      <c r="C23" s="2" t="s">
        <v>99</v>
      </c>
      <c r="D23" s="2">
        <v>1010</v>
      </c>
      <c r="E23" s="37"/>
      <c r="F23" s="26">
        <v>46080</v>
      </c>
      <c r="G23" s="24" t="s">
        <v>52</v>
      </c>
      <c r="H23" s="27" t="s">
        <v>76</v>
      </c>
      <c r="I23" s="26">
        <v>46086</v>
      </c>
      <c r="J23" s="37"/>
      <c r="K23" s="18" t="s">
        <v>32</v>
      </c>
      <c r="L23" s="28">
        <v>46094</v>
      </c>
      <c r="M23" s="29">
        <f ca="1" t="shared" si="0"/>
        <v>8</v>
      </c>
      <c r="N23" s="31"/>
      <c r="T23" s="2" t="s">
        <v>39</v>
      </c>
      <c r="U23" s="2" t="s">
        <v>32</v>
      </c>
      <c r="V23" s="26"/>
      <c r="W23" s="36">
        <f>L23</f>
        <v>46094</v>
      </c>
    </row>
    <row r="24" s="2" customFormat="1" hidden="1" customHeight="1" spans="1:23">
      <c r="A24" s="24" t="s">
        <v>95</v>
      </c>
      <c r="B24" s="24" t="s">
        <v>96</v>
      </c>
      <c r="C24" s="2" t="s">
        <v>100</v>
      </c>
      <c r="D24" s="2">
        <v>1010</v>
      </c>
      <c r="E24" s="37"/>
      <c r="F24" s="26">
        <v>46080</v>
      </c>
      <c r="G24" s="24" t="s">
        <v>52</v>
      </c>
      <c r="H24" s="27" t="s">
        <v>76</v>
      </c>
      <c r="I24" s="26">
        <v>46086</v>
      </c>
      <c r="J24" s="37"/>
      <c r="K24" s="18" t="s">
        <v>32</v>
      </c>
      <c r="L24" s="28">
        <v>46094</v>
      </c>
      <c r="M24" s="29">
        <f ca="1" t="shared" si="0"/>
        <v>8</v>
      </c>
      <c r="N24" s="31"/>
      <c r="T24" s="2" t="s">
        <v>39</v>
      </c>
      <c r="U24" s="2" t="s">
        <v>32</v>
      </c>
      <c r="V24" s="26"/>
      <c r="W24" s="36">
        <f>L24</f>
        <v>46094</v>
      </c>
    </row>
    <row r="25" s="2" customFormat="1" hidden="1" customHeight="1" spans="1:23">
      <c r="A25" s="24" t="s">
        <v>95</v>
      </c>
      <c r="B25" s="24" t="s">
        <v>101</v>
      </c>
      <c r="C25" s="24" t="s">
        <v>102</v>
      </c>
      <c r="D25" s="2">
        <v>755</v>
      </c>
      <c r="E25" s="25" t="s">
        <v>103</v>
      </c>
      <c r="F25" s="26">
        <v>46079</v>
      </c>
      <c r="G25" s="24" t="s">
        <v>104</v>
      </c>
      <c r="H25" s="27" t="s">
        <v>105</v>
      </c>
      <c r="I25" s="26">
        <v>46086</v>
      </c>
      <c r="J25" s="25" t="s">
        <v>106</v>
      </c>
      <c r="K25" s="25" t="s">
        <v>32</v>
      </c>
      <c r="L25" s="26">
        <v>46090</v>
      </c>
      <c r="M25" s="29">
        <f ca="1" t="shared" si="0"/>
        <v>4</v>
      </c>
      <c r="N25" s="27" t="s">
        <v>78</v>
      </c>
      <c r="T25" s="2" t="s">
        <v>32</v>
      </c>
      <c r="U25" s="2" t="s">
        <v>39</v>
      </c>
      <c r="V25" s="26">
        <f>L25</f>
        <v>46090</v>
      </c>
      <c r="W25" s="36"/>
    </row>
    <row r="26" s="2" customFormat="1" hidden="1" customHeight="1" spans="1:23">
      <c r="A26" s="24" t="s">
        <v>95</v>
      </c>
      <c r="B26" s="24" t="s">
        <v>96</v>
      </c>
      <c r="C26" s="2" t="s">
        <v>107</v>
      </c>
      <c r="D26" s="2">
        <v>4434</v>
      </c>
      <c r="E26" s="37" t="str">
        <f>_xlfn.DISPIMG("ID_41176A73349546F7AEC1D05FB64C5190",1)</f>
        <v>=DISPIMG("ID_41176A73349546F7AEC1D05FB64C5190",1)</v>
      </c>
      <c r="F26" s="26">
        <v>46087</v>
      </c>
      <c r="G26" s="24" t="s">
        <v>66</v>
      </c>
      <c r="H26" s="27" t="s">
        <v>108</v>
      </c>
      <c r="I26" s="26">
        <v>46090</v>
      </c>
      <c r="J26" s="25" t="s">
        <v>109</v>
      </c>
      <c r="K26" s="25" t="s">
        <v>32</v>
      </c>
      <c r="L26" s="26">
        <v>46091</v>
      </c>
      <c r="M26" s="29">
        <f ca="1" t="shared" si="0"/>
        <v>1</v>
      </c>
      <c r="N26" s="27" t="s">
        <v>78</v>
      </c>
      <c r="T26" s="2" t="s">
        <v>32</v>
      </c>
      <c r="U26" s="2" t="s">
        <v>39</v>
      </c>
      <c r="V26" s="26">
        <f>L26</f>
        <v>46091</v>
      </c>
      <c r="W26" s="36"/>
    </row>
    <row r="27" s="2" customFormat="1" hidden="1" customHeight="1" spans="1:23">
      <c r="A27" s="24" t="s">
        <v>95</v>
      </c>
      <c r="B27" s="24" t="s">
        <v>96</v>
      </c>
      <c r="C27" s="2" t="s">
        <v>110</v>
      </c>
      <c r="D27" s="2">
        <v>4434</v>
      </c>
      <c r="E27" s="37"/>
      <c r="F27" s="26">
        <v>46087</v>
      </c>
      <c r="G27" s="24" t="s">
        <v>66</v>
      </c>
      <c r="H27" s="27" t="s">
        <v>108</v>
      </c>
      <c r="I27" s="26">
        <v>46090</v>
      </c>
      <c r="J27" s="25" t="s">
        <v>109</v>
      </c>
      <c r="K27" s="25" t="s">
        <v>32</v>
      </c>
      <c r="L27" s="26">
        <v>46091</v>
      </c>
      <c r="M27" s="29">
        <f ca="1" t="shared" si="0"/>
        <v>1</v>
      </c>
      <c r="N27" s="27"/>
      <c r="T27" s="2" t="s">
        <v>32</v>
      </c>
      <c r="U27" s="2" t="s">
        <v>39</v>
      </c>
      <c r="V27" s="26">
        <f>L27</f>
        <v>46091</v>
      </c>
      <c r="W27" s="36"/>
    </row>
    <row r="28" s="2" customFormat="1" hidden="1" customHeight="1" spans="1:23">
      <c r="A28" s="24" t="s">
        <v>95</v>
      </c>
      <c r="B28" s="24" t="s">
        <v>96</v>
      </c>
      <c r="C28" s="2" t="s">
        <v>111</v>
      </c>
      <c r="D28" s="2">
        <v>460</v>
      </c>
      <c r="E28" s="37" t="str">
        <f>_xlfn.DISPIMG("ID_2379718950024BA6B5BCA86EB1A3CEA4",1)</f>
        <v>=DISPIMG("ID_2379718950024BA6B5BCA86EB1A3CEA4",1)</v>
      </c>
      <c r="F28" s="26">
        <v>46087</v>
      </c>
      <c r="G28" s="24" t="s">
        <v>66</v>
      </c>
      <c r="H28" s="27" t="s">
        <v>108</v>
      </c>
      <c r="I28" s="26">
        <v>46090</v>
      </c>
      <c r="J28" s="25" t="s">
        <v>109</v>
      </c>
      <c r="K28" s="25" t="s">
        <v>32</v>
      </c>
      <c r="L28" s="26">
        <v>46091</v>
      </c>
      <c r="M28" s="29">
        <f ca="1" t="shared" si="0"/>
        <v>1</v>
      </c>
      <c r="N28" s="27"/>
      <c r="T28" s="2" t="s">
        <v>32</v>
      </c>
      <c r="U28" s="2" t="s">
        <v>39</v>
      </c>
      <c r="V28" s="26">
        <f>L28</f>
        <v>46091</v>
      </c>
      <c r="W28" s="36"/>
    </row>
    <row r="29" s="2" customFormat="1" hidden="1" customHeight="1" spans="1:23">
      <c r="A29" s="24" t="s">
        <v>95</v>
      </c>
      <c r="B29" s="24" t="s">
        <v>96</v>
      </c>
      <c r="C29" s="2" t="s">
        <v>112</v>
      </c>
      <c r="D29" s="2">
        <v>460</v>
      </c>
      <c r="E29" s="37"/>
      <c r="F29" s="26">
        <v>46087</v>
      </c>
      <c r="G29" s="24" t="s">
        <v>66</v>
      </c>
      <c r="H29" s="27" t="s">
        <v>108</v>
      </c>
      <c r="I29" s="26">
        <v>46090</v>
      </c>
      <c r="J29" s="25" t="s">
        <v>109</v>
      </c>
      <c r="K29" s="25" t="s">
        <v>32</v>
      </c>
      <c r="L29" s="26">
        <v>46091</v>
      </c>
      <c r="M29" s="29">
        <f ca="1" t="shared" si="0"/>
        <v>1</v>
      </c>
      <c r="N29" s="27"/>
      <c r="T29" s="2" t="s">
        <v>32</v>
      </c>
      <c r="U29" s="2" t="s">
        <v>39</v>
      </c>
      <c r="V29" s="26">
        <f>L29</f>
        <v>46091</v>
      </c>
      <c r="W29" s="36"/>
    </row>
    <row r="30" s="2" customFormat="1" hidden="1" customHeight="1" spans="1:23">
      <c r="A30" s="24" t="s">
        <v>48</v>
      </c>
      <c r="B30" s="24" t="s">
        <v>49</v>
      </c>
      <c r="C30" s="2" t="s">
        <v>113</v>
      </c>
      <c r="D30" s="38">
        <v>2430</v>
      </c>
      <c r="E30" s="25" t="s">
        <v>75</v>
      </c>
      <c r="F30" s="26">
        <v>46084</v>
      </c>
      <c r="G30" s="24" t="s">
        <v>66</v>
      </c>
      <c r="H30" s="27" t="s">
        <v>67</v>
      </c>
      <c r="I30" s="28">
        <v>46091</v>
      </c>
      <c r="J30" s="25" t="s">
        <v>114</v>
      </c>
      <c r="K30" s="25" t="s">
        <v>32</v>
      </c>
      <c r="L30" s="28">
        <v>46092</v>
      </c>
      <c r="M30" s="29">
        <f ca="1" t="shared" si="0"/>
        <v>1</v>
      </c>
      <c r="N30" s="27" t="s">
        <v>78</v>
      </c>
      <c r="T30" s="2" t="s">
        <v>32</v>
      </c>
      <c r="U30" s="2" t="s">
        <v>39</v>
      </c>
      <c r="V30" s="28">
        <v>46092</v>
      </c>
      <c r="W30" s="36"/>
    </row>
    <row r="31" s="2" customFormat="1" hidden="1" customHeight="1" spans="1:23">
      <c r="A31" s="24" t="s">
        <v>48</v>
      </c>
      <c r="B31" s="24" t="s">
        <v>49</v>
      </c>
      <c r="C31" s="2" t="s">
        <v>115</v>
      </c>
      <c r="D31" s="38">
        <v>3578</v>
      </c>
      <c r="E31" s="25" t="s">
        <v>75</v>
      </c>
      <c r="F31" s="26">
        <v>46084</v>
      </c>
      <c r="G31" s="24" t="s">
        <v>66</v>
      </c>
      <c r="H31" s="27" t="s">
        <v>67</v>
      </c>
      <c r="I31" s="28">
        <v>46091</v>
      </c>
      <c r="J31" s="25"/>
      <c r="K31" s="25" t="s">
        <v>32</v>
      </c>
      <c r="L31" s="28">
        <v>46092</v>
      </c>
      <c r="M31" s="29">
        <f ca="1" t="shared" si="0"/>
        <v>1</v>
      </c>
      <c r="N31" s="27"/>
      <c r="T31" s="2" t="s">
        <v>32</v>
      </c>
      <c r="U31" s="2" t="s">
        <v>39</v>
      </c>
      <c r="V31" s="28">
        <v>46092</v>
      </c>
      <c r="W31" s="36"/>
    </row>
    <row r="32" s="2" customFormat="1" hidden="1" customHeight="1" spans="1:23">
      <c r="A32" s="24" t="s">
        <v>48</v>
      </c>
      <c r="B32" s="24" t="s">
        <v>49</v>
      </c>
      <c r="C32" s="2" t="s">
        <v>116</v>
      </c>
      <c r="D32" s="38">
        <v>2256</v>
      </c>
      <c r="E32" s="25" t="s">
        <v>75</v>
      </c>
      <c r="F32" s="26">
        <v>46084</v>
      </c>
      <c r="G32" s="24" t="s">
        <v>66</v>
      </c>
      <c r="H32" s="27" t="s">
        <v>67</v>
      </c>
      <c r="I32" s="28">
        <v>46091</v>
      </c>
      <c r="J32" s="25"/>
      <c r="K32" s="25" t="s">
        <v>32</v>
      </c>
      <c r="L32" s="28">
        <v>46092</v>
      </c>
      <c r="M32" s="29">
        <f ca="1" t="shared" si="0"/>
        <v>1</v>
      </c>
      <c r="N32" s="27"/>
      <c r="T32" s="2" t="s">
        <v>32</v>
      </c>
      <c r="U32" s="2" t="s">
        <v>39</v>
      </c>
      <c r="V32" s="28">
        <v>46092</v>
      </c>
      <c r="W32" s="36"/>
    </row>
    <row r="33" hidden="1" customHeight="1" spans="1:23">
      <c r="A33" s="17" t="s">
        <v>48</v>
      </c>
      <c r="B33" s="24" t="s">
        <v>117</v>
      </c>
      <c r="C33" s="17" t="s">
        <v>118</v>
      </c>
      <c r="D33" s="3">
        <v>1216</v>
      </c>
      <c r="E33" s="18" t="s">
        <v>119</v>
      </c>
      <c r="F33" s="26">
        <v>46094</v>
      </c>
      <c r="G33" s="17" t="s">
        <v>104</v>
      </c>
      <c r="H33" s="19" t="s">
        <v>120</v>
      </c>
      <c r="I33" s="28">
        <v>46099</v>
      </c>
      <c r="J33" s="18" t="s">
        <v>121</v>
      </c>
      <c r="K33" s="18" t="s">
        <v>32</v>
      </c>
      <c r="L33" s="28">
        <v>46099</v>
      </c>
      <c r="M33" s="29">
        <f ca="1" t="shared" si="0"/>
        <v>0</v>
      </c>
      <c r="N33" s="19" t="s">
        <v>78</v>
      </c>
      <c r="T33" s="2" t="s">
        <v>32</v>
      </c>
      <c r="U33" s="2" t="s">
        <v>39</v>
      </c>
      <c r="V33" s="28">
        <v>46099</v>
      </c>
      <c r="W33" s="36"/>
    </row>
    <row r="34" ht="27.75" hidden="1" customHeight="1" spans="1:23">
      <c r="A34" s="24" t="s">
        <v>25</v>
      </c>
      <c r="B34" s="24" t="s">
        <v>26</v>
      </c>
      <c r="C34" s="3" t="s">
        <v>122</v>
      </c>
      <c r="D34" s="3">
        <v>317</v>
      </c>
      <c r="E34" s="18" t="s">
        <v>123</v>
      </c>
      <c r="F34" s="26">
        <v>46091</v>
      </c>
      <c r="G34" s="24" t="s">
        <v>66</v>
      </c>
      <c r="H34" s="19" t="s">
        <v>124</v>
      </c>
      <c r="I34" s="28">
        <v>46099</v>
      </c>
      <c r="J34" s="18" t="s">
        <v>114</v>
      </c>
      <c r="K34" s="18" t="s">
        <v>32</v>
      </c>
      <c r="L34" s="28">
        <v>46099</v>
      </c>
      <c r="M34" s="29">
        <f ca="1" t="shared" si="0"/>
        <v>0</v>
      </c>
      <c r="N34" s="27" t="s">
        <v>78</v>
      </c>
      <c r="T34" s="3" t="s">
        <v>32</v>
      </c>
      <c r="U34" s="3" t="s">
        <v>39</v>
      </c>
      <c r="V34" s="20">
        <v>46099</v>
      </c>
      <c r="W34" s="36"/>
    </row>
    <row r="35" ht="27.75" hidden="1" customHeight="1" spans="1:23">
      <c r="A35" s="24" t="s">
        <v>25</v>
      </c>
      <c r="B35" s="24" t="s">
        <v>26</v>
      </c>
      <c r="C35" s="3" t="s">
        <v>125</v>
      </c>
      <c r="D35" s="3">
        <v>317</v>
      </c>
      <c r="E35" s="18" t="s">
        <v>123</v>
      </c>
      <c r="F35" s="26">
        <v>46091</v>
      </c>
      <c r="G35" s="24" t="s">
        <v>66</v>
      </c>
      <c r="H35" s="19" t="s">
        <v>124</v>
      </c>
      <c r="I35" s="28">
        <v>46099</v>
      </c>
      <c r="J35" s="18" t="s">
        <v>114</v>
      </c>
      <c r="K35" s="18" t="s">
        <v>32</v>
      </c>
      <c r="L35" s="28">
        <v>46099</v>
      </c>
      <c r="M35" s="29">
        <f ca="1" t="shared" si="0"/>
        <v>0</v>
      </c>
      <c r="N35" s="27" t="s">
        <v>78</v>
      </c>
      <c r="T35" s="3" t="s">
        <v>32</v>
      </c>
      <c r="U35" s="3" t="s">
        <v>39</v>
      </c>
      <c r="V35" s="20">
        <v>46099</v>
      </c>
      <c r="W35" s="36"/>
    </row>
    <row r="36" ht="27.75" hidden="1" customHeight="1" spans="1:23">
      <c r="A36" s="24" t="s">
        <v>25</v>
      </c>
      <c r="B36" s="24" t="s">
        <v>26</v>
      </c>
      <c r="C36" s="3" t="s">
        <v>126</v>
      </c>
      <c r="D36" s="3">
        <v>317</v>
      </c>
      <c r="E36" s="18" t="s">
        <v>123</v>
      </c>
      <c r="F36" s="26">
        <v>46091</v>
      </c>
      <c r="G36" s="24" t="s">
        <v>66</v>
      </c>
      <c r="H36" s="19" t="s">
        <v>124</v>
      </c>
      <c r="I36" s="28">
        <v>46099</v>
      </c>
      <c r="J36" s="18" t="s">
        <v>114</v>
      </c>
      <c r="K36" s="18" t="s">
        <v>32</v>
      </c>
      <c r="L36" s="28">
        <v>46099</v>
      </c>
      <c r="M36" s="29">
        <f ca="1" t="shared" si="0"/>
        <v>0</v>
      </c>
      <c r="N36" s="27" t="s">
        <v>78</v>
      </c>
      <c r="T36" s="3" t="s">
        <v>32</v>
      </c>
      <c r="U36" s="3" t="s">
        <v>39</v>
      </c>
      <c r="V36" s="20">
        <v>46099</v>
      </c>
      <c r="W36" s="36"/>
    </row>
    <row r="37" ht="27.75" hidden="1" customHeight="1" spans="1:23">
      <c r="A37" s="24" t="s">
        <v>25</v>
      </c>
      <c r="B37" s="24" t="s">
        <v>26</v>
      </c>
      <c r="C37" s="3" t="s">
        <v>127</v>
      </c>
      <c r="D37" s="3">
        <v>317</v>
      </c>
      <c r="E37" s="18" t="s">
        <v>123</v>
      </c>
      <c r="F37" s="26">
        <v>46091</v>
      </c>
      <c r="G37" s="24" t="s">
        <v>66</v>
      </c>
      <c r="H37" s="19" t="s">
        <v>124</v>
      </c>
      <c r="I37" s="28">
        <v>46099</v>
      </c>
      <c r="J37" s="18" t="s">
        <v>114</v>
      </c>
      <c r="K37" s="18" t="s">
        <v>32</v>
      </c>
      <c r="L37" s="28">
        <v>46099</v>
      </c>
      <c r="M37" s="29">
        <f ca="1" t="shared" si="0"/>
        <v>0</v>
      </c>
      <c r="N37" s="27" t="s">
        <v>78</v>
      </c>
      <c r="T37" s="3" t="s">
        <v>32</v>
      </c>
      <c r="U37" s="3" t="s">
        <v>39</v>
      </c>
      <c r="V37" s="20">
        <v>46099</v>
      </c>
      <c r="W37" s="36"/>
    </row>
    <row r="38" ht="27.75" hidden="1" customHeight="1" spans="1:23">
      <c r="A38" s="24" t="s">
        <v>25</v>
      </c>
      <c r="B38" s="24" t="s">
        <v>26</v>
      </c>
      <c r="C38" s="3" t="s">
        <v>128</v>
      </c>
      <c r="D38" s="3">
        <v>317</v>
      </c>
      <c r="E38" s="18" t="s">
        <v>123</v>
      </c>
      <c r="F38" s="26">
        <v>46091</v>
      </c>
      <c r="G38" s="24" t="s">
        <v>66</v>
      </c>
      <c r="H38" s="19" t="s">
        <v>124</v>
      </c>
      <c r="I38" s="28">
        <v>46099</v>
      </c>
      <c r="J38" s="18" t="s">
        <v>114</v>
      </c>
      <c r="K38" s="18" t="s">
        <v>32</v>
      </c>
      <c r="L38" s="28">
        <v>46099</v>
      </c>
      <c r="M38" s="29">
        <f ca="1" t="shared" si="0"/>
        <v>0</v>
      </c>
      <c r="N38" s="27" t="s">
        <v>78</v>
      </c>
      <c r="T38" s="3" t="s">
        <v>32</v>
      </c>
      <c r="U38" s="3" t="s">
        <v>39</v>
      </c>
      <c r="V38" s="20">
        <v>46099</v>
      </c>
      <c r="W38" s="36"/>
    </row>
    <row r="39" hidden="1" customHeight="1" spans="1:23">
      <c r="A39" s="17" t="s">
        <v>48</v>
      </c>
      <c r="B39" s="24" t="s">
        <v>49</v>
      </c>
      <c r="C39" s="3" t="s">
        <v>129</v>
      </c>
      <c r="D39" s="3">
        <v>1088</v>
      </c>
      <c r="E39" s="18" t="s">
        <v>130</v>
      </c>
      <c r="F39" s="26">
        <v>46099</v>
      </c>
      <c r="G39" s="17" t="s">
        <v>29</v>
      </c>
      <c r="H39" s="19" t="s">
        <v>131</v>
      </c>
      <c r="I39" s="28">
        <v>46101</v>
      </c>
      <c r="J39" s="18" t="s">
        <v>132</v>
      </c>
      <c r="K39" s="18" t="s">
        <v>32</v>
      </c>
      <c r="L39" s="28">
        <v>46101</v>
      </c>
      <c r="M39" s="29">
        <f ca="1">IF(L39="暂未",TODAY()-I39,L39-I39)</f>
        <v>0</v>
      </c>
      <c r="N39" s="27" t="s">
        <v>78</v>
      </c>
      <c r="T39" s="2" t="s">
        <v>32</v>
      </c>
      <c r="U39" s="2" t="s">
        <v>39</v>
      </c>
      <c r="V39" s="28">
        <v>46101</v>
      </c>
      <c r="W39" s="36"/>
    </row>
    <row r="40" ht="27" hidden="1" spans="1:23">
      <c r="A40" s="17" t="s">
        <v>48</v>
      </c>
      <c r="B40" s="24" t="s">
        <v>49</v>
      </c>
      <c r="C40" s="3" t="s">
        <v>133</v>
      </c>
      <c r="D40" s="3">
        <v>1142</v>
      </c>
      <c r="E40" s="18" t="s">
        <v>130</v>
      </c>
      <c r="F40" s="26">
        <v>46099</v>
      </c>
      <c r="G40" s="17" t="s">
        <v>29</v>
      </c>
      <c r="H40" s="19" t="s">
        <v>131</v>
      </c>
      <c r="I40" s="28">
        <v>46101</v>
      </c>
      <c r="J40" s="18" t="s">
        <v>132</v>
      </c>
      <c r="K40" s="18" t="s">
        <v>32</v>
      </c>
      <c r="L40" s="28">
        <v>46101</v>
      </c>
      <c r="M40" s="29">
        <f ca="1">IF(L40="暂未",TODAY()-I40,L40-I40)</f>
        <v>0</v>
      </c>
      <c r="N40" s="27" t="s">
        <v>78</v>
      </c>
      <c r="T40" s="2" t="s">
        <v>32</v>
      </c>
      <c r="U40" s="2" t="s">
        <v>39</v>
      </c>
      <c r="V40" s="28">
        <v>46101</v>
      </c>
      <c r="W40" s="36"/>
    </row>
    <row r="41" ht="27" hidden="1" spans="1:23">
      <c r="A41" s="17" t="s">
        <v>48</v>
      </c>
      <c r="B41" s="24" t="s">
        <v>49</v>
      </c>
      <c r="C41" s="3" t="s">
        <v>134</v>
      </c>
      <c r="D41" s="3">
        <v>818</v>
      </c>
      <c r="E41" s="18" t="s">
        <v>130</v>
      </c>
      <c r="F41" s="26">
        <v>46099</v>
      </c>
      <c r="G41" s="17" t="s">
        <v>29</v>
      </c>
      <c r="H41" s="19" t="s">
        <v>131</v>
      </c>
      <c r="I41" s="28">
        <v>46101</v>
      </c>
      <c r="J41" s="18" t="s">
        <v>132</v>
      </c>
      <c r="K41" s="18" t="s">
        <v>32</v>
      </c>
      <c r="L41" s="28">
        <v>46101</v>
      </c>
      <c r="M41" s="29">
        <f ca="1">IF(L41="暂未",TODAY()-I41,L41-I41)</f>
        <v>0</v>
      </c>
      <c r="N41" s="27" t="s">
        <v>78</v>
      </c>
      <c r="T41" s="2" t="s">
        <v>32</v>
      </c>
      <c r="U41" s="2" t="s">
        <v>39</v>
      </c>
      <c r="V41" s="28">
        <v>46101</v>
      </c>
      <c r="W41" s="36"/>
    </row>
    <row r="42" ht="27" hidden="1" spans="1:23">
      <c r="A42" s="17" t="s">
        <v>48</v>
      </c>
      <c r="B42" s="24" t="s">
        <v>49</v>
      </c>
      <c r="C42" s="3" t="s">
        <v>135</v>
      </c>
      <c r="D42" s="3">
        <v>1142</v>
      </c>
      <c r="E42" s="18" t="s">
        <v>130</v>
      </c>
      <c r="F42" s="26">
        <v>46099</v>
      </c>
      <c r="G42" s="17" t="s">
        <v>29</v>
      </c>
      <c r="H42" s="19" t="s">
        <v>131</v>
      </c>
      <c r="I42" s="28">
        <v>46101</v>
      </c>
      <c r="J42" s="18" t="s">
        <v>132</v>
      </c>
      <c r="K42" s="18" t="s">
        <v>32</v>
      </c>
      <c r="L42" s="28">
        <v>46101</v>
      </c>
      <c r="M42" s="29">
        <f ca="1">IF(L42="暂未",TODAY()-I42,L42-I42)</f>
        <v>0</v>
      </c>
      <c r="N42" s="27" t="s">
        <v>78</v>
      </c>
      <c r="T42" s="2" t="s">
        <v>32</v>
      </c>
      <c r="U42" s="2" t="s">
        <v>39</v>
      </c>
      <c r="V42" s="28">
        <v>46101</v>
      </c>
      <c r="W42" s="36"/>
    </row>
    <row r="43" ht="27" hidden="1" spans="1:23">
      <c r="A43" s="17" t="s">
        <v>48</v>
      </c>
      <c r="B43" s="24" t="s">
        <v>49</v>
      </c>
      <c r="C43" s="3" t="s">
        <v>136</v>
      </c>
      <c r="D43" s="3">
        <v>926</v>
      </c>
      <c r="E43" s="18" t="s">
        <v>130</v>
      </c>
      <c r="F43" s="26">
        <v>46099</v>
      </c>
      <c r="G43" s="17" t="s">
        <v>29</v>
      </c>
      <c r="H43" s="19" t="s">
        <v>131</v>
      </c>
      <c r="I43" s="28">
        <v>46101</v>
      </c>
      <c r="J43" s="18" t="s">
        <v>132</v>
      </c>
      <c r="K43" s="18" t="s">
        <v>32</v>
      </c>
      <c r="L43" s="28">
        <v>46101</v>
      </c>
      <c r="M43" s="29">
        <f ca="1">IF(L43="暂未",TODAY()-I43,L43-I43)</f>
        <v>0</v>
      </c>
      <c r="N43" s="27" t="s">
        <v>78</v>
      </c>
      <c r="T43" s="2" t="s">
        <v>32</v>
      </c>
      <c r="U43" s="2" t="s">
        <v>39</v>
      </c>
      <c r="V43" s="28">
        <v>46101</v>
      </c>
      <c r="W43" s="36"/>
    </row>
    <row r="44" ht="27" hidden="1" spans="1:23">
      <c r="A44" s="17" t="s">
        <v>48</v>
      </c>
      <c r="B44" s="24" t="s">
        <v>49</v>
      </c>
      <c r="C44" s="3" t="s">
        <v>137</v>
      </c>
      <c r="D44" s="3">
        <v>168</v>
      </c>
      <c r="E44" s="18" t="s">
        <v>138</v>
      </c>
      <c r="F44" s="26">
        <v>46099</v>
      </c>
      <c r="G44" s="17" t="s">
        <v>29</v>
      </c>
      <c r="H44" s="19" t="s">
        <v>131</v>
      </c>
      <c r="I44" s="28">
        <v>46101</v>
      </c>
      <c r="J44" s="18" t="s">
        <v>132</v>
      </c>
      <c r="K44" s="18" t="s">
        <v>32</v>
      </c>
      <c r="L44" s="28">
        <v>46101</v>
      </c>
      <c r="M44" s="29">
        <f ca="1">IF(L44="暂未",TODAY()-I44,L44-I44)</f>
        <v>0</v>
      </c>
      <c r="N44" s="27" t="s">
        <v>78</v>
      </c>
      <c r="T44" s="2" t="s">
        <v>32</v>
      </c>
      <c r="U44" s="2" t="s">
        <v>39</v>
      </c>
      <c r="V44" s="28">
        <v>46101</v>
      </c>
      <c r="W44" s="36"/>
    </row>
    <row r="45" hidden="1" customHeight="1" spans="1:23">
      <c r="A45" s="17" t="s">
        <v>48</v>
      </c>
      <c r="B45" s="24" t="s">
        <v>49</v>
      </c>
      <c r="C45" s="3" t="s">
        <v>139</v>
      </c>
      <c r="D45" s="3">
        <v>2870</v>
      </c>
      <c r="E45" s="18" t="s">
        <v>140</v>
      </c>
      <c r="F45" s="28">
        <v>46101</v>
      </c>
      <c r="G45" s="24" t="s">
        <v>66</v>
      </c>
      <c r="H45" s="27" t="s">
        <v>67</v>
      </c>
      <c r="I45" s="28">
        <v>46105</v>
      </c>
      <c r="J45" s="18" t="s">
        <v>114</v>
      </c>
      <c r="K45" s="18" t="s">
        <v>32</v>
      </c>
      <c r="L45" s="28">
        <v>46106</v>
      </c>
      <c r="M45" s="29">
        <f ca="1">IF(L45="暂未",TODAY()-I45,L45-I45)</f>
        <v>1</v>
      </c>
      <c r="N45" s="27" t="s">
        <v>78</v>
      </c>
      <c r="T45" s="2" t="s">
        <v>32</v>
      </c>
      <c r="U45" s="2" t="s">
        <v>39</v>
      </c>
      <c r="V45" s="28">
        <v>46106</v>
      </c>
      <c r="W45" s="36"/>
    </row>
    <row r="46" hidden="1" customHeight="1" spans="1:23">
      <c r="A46" s="17" t="s">
        <v>48</v>
      </c>
      <c r="B46" s="24" t="s">
        <v>49</v>
      </c>
      <c r="C46" s="17" t="s">
        <v>141</v>
      </c>
      <c r="D46" s="3">
        <v>2870</v>
      </c>
      <c r="E46" s="18" t="s">
        <v>140</v>
      </c>
      <c r="F46" s="28">
        <v>46101</v>
      </c>
      <c r="G46" s="24" t="s">
        <v>66</v>
      </c>
      <c r="H46" s="27" t="s">
        <v>67</v>
      </c>
      <c r="I46" s="28">
        <v>46105</v>
      </c>
      <c r="J46" s="18" t="s">
        <v>114</v>
      </c>
      <c r="K46" s="18" t="s">
        <v>32</v>
      </c>
      <c r="L46" s="28">
        <v>46106</v>
      </c>
      <c r="M46" s="29">
        <f ca="1">IF(L46="暂未",TODAY()-I46,L46-I46)</f>
        <v>1</v>
      </c>
      <c r="N46" s="27" t="s">
        <v>78</v>
      </c>
      <c r="T46" s="2" t="s">
        <v>32</v>
      </c>
      <c r="U46" s="2" t="s">
        <v>39</v>
      </c>
      <c r="V46" s="28">
        <v>46106</v>
      </c>
      <c r="W46" s="36"/>
    </row>
    <row r="47" hidden="1" customHeight="1" spans="1:23">
      <c r="A47" s="17" t="s">
        <v>95</v>
      </c>
      <c r="B47" s="24" t="s">
        <v>96</v>
      </c>
      <c r="C47" s="3" t="s">
        <v>142</v>
      </c>
      <c r="D47" s="3">
        <v>212</v>
      </c>
      <c r="E47" s="4" t="str">
        <f>_xlfn.DISPIMG("ID_934C0F4E693C44B782439CF3FF9BD46B",1)</f>
        <v>=DISPIMG("ID_934C0F4E693C44B782439CF3FF9BD46B",1)</v>
      </c>
      <c r="F47" s="5">
        <v>46100</v>
      </c>
      <c r="G47" s="24" t="s">
        <v>66</v>
      </c>
      <c r="H47" s="6" t="s">
        <v>143</v>
      </c>
      <c r="I47" s="28">
        <v>46105</v>
      </c>
      <c r="J47" s="18" t="s">
        <v>144</v>
      </c>
      <c r="K47" s="25" t="s">
        <v>32</v>
      </c>
      <c r="L47" s="36">
        <v>46125</v>
      </c>
      <c r="M47" s="29">
        <f ca="1" t="shared" ref="M47:M91" si="1">IF(L47="暂未",TODAY()-I47,L47-I47)</f>
        <v>20</v>
      </c>
      <c r="N47" s="19" t="s">
        <v>78</v>
      </c>
      <c r="T47" s="2" t="s">
        <v>39</v>
      </c>
      <c r="U47" s="3" t="s">
        <v>32</v>
      </c>
      <c r="V47" s="5"/>
      <c r="W47" s="36">
        <f>L47</f>
        <v>46125</v>
      </c>
    </row>
    <row r="48" hidden="1" customHeight="1" spans="1:23">
      <c r="A48" s="17" t="s">
        <v>95</v>
      </c>
      <c r="B48" s="24" t="s">
        <v>96</v>
      </c>
      <c r="C48" s="3" t="s">
        <v>145</v>
      </c>
      <c r="D48" s="3">
        <v>212</v>
      </c>
      <c r="F48" s="5">
        <v>46100</v>
      </c>
      <c r="G48" s="24" t="s">
        <v>66</v>
      </c>
      <c r="H48" s="6" t="s">
        <v>143</v>
      </c>
      <c r="I48" s="28">
        <v>46105</v>
      </c>
      <c r="J48" s="18"/>
      <c r="K48" s="25" t="s">
        <v>32</v>
      </c>
      <c r="L48" s="36">
        <v>46125</v>
      </c>
      <c r="M48" s="29">
        <f ca="1" t="shared" si="1"/>
        <v>20</v>
      </c>
      <c r="N48" s="19"/>
      <c r="T48" s="2" t="s">
        <v>39</v>
      </c>
      <c r="U48" s="3" t="s">
        <v>32</v>
      </c>
      <c r="V48" s="5"/>
      <c r="W48" s="36">
        <f>L48</f>
        <v>46125</v>
      </c>
    </row>
    <row r="49" hidden="1" customHeight="1" spans="1:23">
      <c r="A49" s="17" t="s">
        <v>95</v>
      </c>
      <c r="B49" s="24" t="s">
        <v>96</v>
      </c>
      <c r="C49" s="3" t="s">
        <v>146</v>
      </c>
      <c r="D49" s="3">
        <v>212</v>
      </c>
      <c r="F49" s="5">
        <v>46100</v>
      </c>
      <c r="G49" s="24" t="s">
        <v>66</v>
      </c>
      <c r="H49" s="6" t="s">
        <v>143</v>
      </c>
      <c r="I49" s="28">
        <v>46105</v>
      </c>
      <c r="J49" s="18"/>
      <c r="K49" s="25" t="s">
        <v>32</v>
      </c>
      <c r="L49" s="36">
        <v>46125</v>
      </c>
      <c r="M49" s="29">
        <f ca="1" t="shared" si="1"/>
        <v>20</v>
      </c>
      <c r="N49" s="19"/>
      <c r="T49" s="2" t="s">
        <v>39</v>
      </c>
      <c r="U49" s="3" t="s">
        <v>32</v>
      </c>
      <c r="V49" s="5"/>
      <c r="W49" s="36">
        <f>L49</f>
        <v>46125</v>
      </c>
    </row>
    <row r="50" hidden="1" customHeight="1" spans="1:23">
      <c r="A50" s="17" t="s">
        <v>95</v>
      </c>
      <c r="B50" s="24" t="s">
        <v>96</v>
      </c>
      <c r="C50" s="3" t="s">
        <v>147</v>
      </c>
      <c r="D50" s="3">
        <v>212</v>
      </c>
      <c r="F50" s="5">
        <v>46100</v>
      </c>
      <c r="G50" s="24" t="s">
        <v>66</v>
      </c>
      <c r="H50" s="6" t="s">
        <v>143</v>
      </c>
      <c r="I50" s="28">
        <v>46105</v>
      </c>
      <c r="J50" s="18"/>
      <c r="K50" s="25" t="s">
        <v>32</v>
      </c>
      <c r="L50" s="36">
        <v>46125</v>
      </c>
      <c r="M50" s="29">
        <f ca="1" t="shared" si="1"/>
        <v>20</v>
      </c>
      <c r="N50" s="19"/>
      <c r="T50" s="2" t="s">
        <v>39</v>
      </c>
      <c r="U50" s="3" t="s">
        <v>32</v>
      </c>
      <c r="V50" s="5"/>
      <c r="W50" s="36">
        <f>L50</f>
        <v>46125</v>
      </c>
    </row>
    <row r="51" hidden="1" customHeight="1" spans="1:23">
      <c r="A51" s="17" t="s">
        <v>95</v>
      </c>
      <c r="B51" s="24" t="s">
        <v>96</v>
      </c>
      <c r="C51" s="3" t="s">
        <v>148</v>
      </c>
      <c r="D51" s="3">
        <v>212</v>
      </c>
      <c r="F51" s="5">
        <v>46100</v>
      </c>
      <c r="G51" s="24" t="s">
        <v>66</v>
      </c>
      <c r="H51" s="6" t="s">
        <v>143</v>
      </c>
      <c r="I51" s="28">
        <v>46105</v>
      </c>
      <c r="J51" s="18"/>
      <c r="K51" s="25" t="s">
        <v>32</v>
      </c>
      <c r="L51" s="36">
        <v>46125</v>
      </c>
      <c r="M51" s="29">
        <f ca="1" t="shared" si="1"/>
        <v>20</v>
      </c>
      <c r="N51" s="19"/>
      <c r="T51" s="2" t="s">
        <v>39</v>
      </c>
      <c r="U51" s="3" t="s">
        <v>32</v>
      </c>
      <c r="V51" s="5"/>
      <c r="W51" s="36">
        <f>L51</f>
        <v>46125</v>
      </c>
    </row>
    <row r="52" hidden="1" customHeight="1" spans="1:23">
      <c r="A52" s="17" t="s">
        <v>87</v>
      </c>
      <c r="B52" s="17" t="s">
        <v>88</v>
      </c>
      <c r="C52" s="3" t="s">
        <v>149</v>
      </c>
      <c r="D52" s="39">
        <v>234</v>
      </c>
      <c r="E52" s="18" t="s">
        <v>150</v>
      </c>
      <c r="F52" s="5">
        <v>46100</v>
      </c>
      <c r="G52" s="17" t="s">
        <v>104</v>
      </c>
      <c r="H52" s="18" t="s">
        <v>151</v>
      </c>
      <c r="I52" s="40">
        <v>46107</v>
      </c>
      <c r="J52" s="18" t="s">
        <v>152</v>
      </c>
      <c r="K52" s="18" t="s">
        <v>32</v>
      </c>
      <c r="L52" s="36">
        <v>46120</v>
      </c>
      <c r="M52" s="29">
        <f ca="1" t="shared" si="1"/>
        <v>13</v>
      </c>
      <c r="N52" s="19" t="s">
        <v>78</v>
      </c>
      <c r="O52" s="17" t="s">
        <v>34</v>
      </c>
      <c r="T52" s="3" t="s">
        <v>39</v>
      </c>
      <c r="U52" s="3" t="s">
        <v>32</v>
      </c>
      <c r="W52" s="36">
        <v>46120</v>
      </c>
    </row>
    <row r="53" hidden="1" customHeight="1" spans="1:23">
      <c r="A53" s="17" t="s">
        <v>87</v>
      </c>
      <c r="B53" s="17" t="s">
        <v>88</v>
      </c>
      <c r="C53" s="3" t="s">
        <v>153</v>
      </c>
      <c r="D53" s="39">
        <v>234</v>
      </c>
      <c r="E53" s="18" t="s">
        <v>150</v>
      </c>
      <c r="F53" s="5">
        <v>46100</v>
      </c>
      <c r="G53" s="17" t="s">
        <v>104</v>
      </c>
      <c r="H53" s="4"/>
      <c r="I53" s="40">
        <v>46107</v>
      </c>
      <c r="K53" s="18" t="s">
        <v>32</v>
      </c>
      <c r="L53" s="36">
        <v>46120</v>
      </c>
      <c r="M53" s="29">
        <f ca="1" t="shared" si="1"/>
        <v>13</v>
      </c>
      <c r="T53" s="3" t="s">
        <v>39</v>
      </c>
      <c r="U53" s="3" t="s">
        <v>32</v>
      </c>
      <c r="W53" s="36">
        <v>46120</v>
      </c>
    </row>
    <row r="54" hidden="1" customHeight="1" spans="1:23">
      <c r="A54" s="17" t="s">
        <v>87</v>
      </c>
      <c r="B54" s="17" t="s">
        <v>88</v>
      </c>
      <c r="C54" s="3" t="s">
        <v>154</v>
      </c>
      <c r="D54" s="39">
        <v>234</v>
      </c>
      <c r="E54" s="18" t="s">
        <v>150</v>
      </c>
      <c r="F54" s="5">
        <v>46100</v>
      </c>
      <c r="G54" s="17" t="s">
        <v>104</v>
      </c>
      <c r="H54" s="4"/>
      <c r="I54" s="40">
        <v>46107</v>
      </c>
      <c r="K54" s="18" t="s">
        <v>32</v>
      </c>
      <c r="L54" s="36">
        <v>46120</v>
      </c>
      <c r="M54" s="29">
        <f ca="1" t="shared" si="1"/>
        <v>13</v>
      </c>
      <c r="T54" s="3" t="s">
        <v>39</v>
      </c>
      <c r="U54" s="3" t="s">
        <v>32</v>
      </c>
      <c r="W54" s="36">
        <v>46120</v>
      </c>
    </row>
    <row r="55" hidden="1" customHeight="1" spans="1:23">
      <c r="A55" s="17" t="s">
        <v>87</v>
      </c>
      <c r="B55" s="17" t="s">
        <v>88</v>
      </c>
      <c r="C55" s="3" t="s">
        <v>155</v>
      </c>
      <c r="D55" s="3">
        <v>194</v>
      </c>
      <c r="E55" s="18" t="s">
        <v>150</v>
      </c>
      <c r="F55" s="5">
        <v>46100</v>
      </c>
      <c r="G55" s="17" t="s">
        <v>104</v>
      </c>
      <c r="H55" s="4"/>
      <c r="I55" s="40">
        <v>46107</v>
      </c>
      <c r="K55" s="18" t="s">
        <v>32</v>
      </c>
      <c r="L55" s="36">
        <v>46120</v>
      </c>
      <c r="M55" s="29">
        <f ca="1" t="shared" si="1"/>
        <v>13</v>
      </c>
      <c r="T55" s="3" t="s">
        <v>39</v>
      </c>
      <c r="U55" s="3" t="s">
        <v>32</v>
      </c>
      <c r="W55" s="36">
        <v>46120</v>
      </c>
    </row>
    <row r="56" hidden="1" customHeight="1" spans="1:23">
      <c r="A56" s="17" t="s">
        <v>87</v>
      </c>
      <c r="B56" s="17" t="s">
        <v>88</v>
      </c>
      <c r="C56" s="3" t="s">
        <v>156</v>
      </c>
      <c r="D56" s="39">
        <v>234</v>
      </c>
      <c r="E56" s="18" t="s">
        <v>150</v>
      </c>
      <c r="F56" s="5">
        <v>46100</v>
      </c>
      <c r="G56" s="17" t="s">
        <v>104</v>
      </c>
      <c r="H56" s="4"/>
      <c r="I56" s="40">
        <v>46107</v>
      </c>
      <c r="K56" s="18" t="s">
        <v>32</v>
      </c>
      <c r="L56" s="36">
        <v>46120</v>
      </c>
      <c r="M56" s="29">
        <f ca="1" t="shared" si="1"/>
        <v>13</v>
      </c>
      <c r="T56" s="3" t="s">
        <v>39</v>
      </c>
      <c r="U56" s="3" t="s">
        <v>32</v>
      </c>
      <c r="W56" s="36">
        <v>46120</v>
      </c>
    </row>
    <row r="57" hidden="1" customHeight="1" spans="1:23">
      <c r="A57" s="17" t="s">
        <v>48</v>
      </c>
      <c r="B57" s="24" t="s">
        <v>49</v>
      </c>
      <c r="C57" s="3" t="s">
        <v>157</v>
      </c>
      <c r="D57" s="3">
        <v>2520</v>
      </c>
      <c r="E57" s="18" t="s">
        <v>158</v>
      </c>
      <c r="F57" s="5">
        <v>46115</v>
      </c>
      <c r="G57" s="17" t="s">
        <v>66</v>
      </c>
      <c r="H57" s="27" t="s">
        <v>67</v>
      </c>
      <c r="I57" s="5">
        <v>46120</v>
      </c>
      <c r="J57" s="18" t="s">
        <v>114</v>
      </c>
      <c r="K57" s="18" t="s">
        <v>32</v>
      </c>
      <c r="L57" s="36">
        <v>46121</v>
      </c>
      <c r="M57" s="29">
        <f ca="1" t="shared" si="1"/>
        <v>1</v>
      </c>
      <c r="N57" s="19" t="s">
        <v>159</v>
      </c>
      <c r="T57" s="2" t="s">
        <v>32</v>
      </c>
      <c r="U57" s="2" t="s">
        <v>39</v>
      </c>
      <c r="V57" s="36">
        <v>46121</v>
      </c>
    </row>
    <row r="58" hidden="1" customHeight="1" spans="1:23">
      <c r="A58" s="17" t="s">
        <v>48</v>
      </c>
      <c r="B58" s="24" t="s">
        <v>49</v>
      </c>
      <c r="C58" s="3" t="s">
        <v>160</v>
      </c>
      <c r="D58" s="3">
        <v>2250</v>
      </c>
      <c r="E58" s="18" t="s">
        <v>158</v>
      </c>
      <c r="F58" s="5">
        <v>46115</v>
      </c>
      <c r="G58" s="17" t="s">
        <v>66</v>
      </c>
      <c r="H58" s="27" t="s">
        <v>67</v>
      </c>
      <c r="I58" s="5">
        <v>46120</v>
      </c>
      <c r="J58" s="18"/>
      <c r="K58" s="18" t="s">
        <v>32</v>
      </c>
      <c r="L58" s="36">
        <v>46121</v>
      </c>
      <c r="M58" s="29">
        <f ca="1" t="shared" si="1"/>
        <v>1</v>
      </c>
      <c r="T58" s="2" t="s">
        <v>32</v>
      </c>
      <c r="U58" s="2" t="s">
        <v>39</v>
      </c>
      <c r="V58" s="36">
        <v>46121</v>
      </c>
    </row>
    <row r="59" hidden="1" customHeight="1" spans="1:23">
      <c r="A59" s="17" t="s">
        <v>48</v>
      </c>
      <c r="B59" s="24" t="s">
        <v>49</v>
      </c>
      <c r="C59" s="3" t="s">
        <v>161</v>
      </c>
      <c r="D59" s="3">
        <v>3690</v>
      </c>
      <c r="E59" s="18" t="s">
        <v>158</v>
      </c>
      <c r="F59" s="5">
        <v>46115</v>
      </c>
      <c r="G59" s="17" t="s">
        <v>66</v>
      </c>
      <c r="H59" s="27" t="s">
        <v>67</v>
      </c>
      <c r="I59" s="5">
        <v>46120</v>
      </c>
      <c r="J59" s="18"/>
      <c r="K59" s="18" t="s">
        <v>32</v>
      </c>
      <c r="L59" s="36">
        <v>46121</v>
      </c>
      <c r="M59" s="29">
        <f ca="1" t="shared" si="1"/>
        <v>1</v>
      </c>
      <c r="T59" s="2" t="s">
        <v>32</v>
      </c>
      <c r="U59" s="2" t="s">
        <v>39</v>
      </c>
      <c r="V59" s="36">
        <v>46121</v>
      </c>
    </row>
    <row r="60" hidden="1" customHeight="1" spans="1:23">
      <c r="A60" s="17" t="s">
        <v>48</v>
      </c>
      <c r="B60" s="24" t="s">
        <v>49</v>
      </c>
      <c r="C60" s="2" t="s">
        <v>162</v>
      </c>
      <c r="D60" s="30">
        <v>3202</v>
      </c>
      <c r="E60" s="18" t="s">
        <v>65</v>
      </c>
      <c r="F60" s="5">
        <v>46100</v>
      </c>
      <c r="G60" s="17" t="s">
        <v>66</v>
      </c>
      <c r="H60" s="27" t="s">
        <v>163</v>
      </c>
      <c r="I60" s="5">
        <v>46121</v>
      </c>
      <c r="J60" s="18" t="s">
        <v>164</v>
      </c>
      <c r="K60" s="18" t="s">
        <v>32</v>
      </c>
      <c r="L60" s="36">
        <v>46144</v>
      </c>
      <c r="M60" s="29">
        <f ca="1" t="shared" si="1"/>
        <v>23</v>
      </c>
      <c r="N60" s="19" t="s">
        <v>165</v>
      </c>
      <c r="T60" s="3" t="s">
        <v>39</v>
      </c>
      <c r="U60" s="3" t="s">
        <v>32</v>
      </c>
      <c r="W60" s="36">
        <v>46144</v>
      </c>
    </row>
    <row r="61" hidden="1" customHeight="1" spans="1:23">
      <c r="A61" s="17" t="s">
        <v>48</v>
      </c>
      <c r="B61" s="24" t="s">
        <v>49</v>
      </c>
      <c r="C61" s="2" t="s">
        <v>166</v>
      </c>
      <c r="D61" s="30">
        <v>3070</v>
      </c>
      <c r="E61" s="18" t="s">
        <v>65</v>
      </c>
      <c r="F61" s="5">
        <v>46100</v>
      </c>
      <c r="G61" s="17" t="s">
        <v>66</v>
      </c>
      <c r="H61" s="27" t="s">
        <v>163</v>
      </c>
      <c r="I61" s="5">
        <v>46121</v>
      </c>
      <c r="K61" s="18" t="s">
        <v>32</v>
      </c>
      <c r="L61" s="36">
        <v>46144</v>
      </c>
      <c r="M61" s="29">
        <f ca="1" t="shared" si="1"/>
        <v>23</v>
      </c>
      <c r="N61" s="41"/>
      <c r="T61" s="3" t="s">
        <v>39</v>
      </c>
      <c r="U61" s="3" t="s">
        <v>32</v>
      </c>
      <c r="W61" s="36">
        <v>46144</v>
      </c>
    </row>
    <row r="62" hidden="1" customHeight="1" spans="1:23">
      <c r="A62" s="17" t="s">
        <v>48</v>
      </c>
      <c r="B62" s="24" t="s">
        <v>117</v>
      </c>
      <c r="C62" s="3" t="s">
        <v>167</v>
      </c>
      <c r="D62" s="3">
        <v>325</v>
      </c>
      <c r="E62" s="17" t="s">
        <v>168</v>
      </c>
      <c r="F62" s="5">
        <v>46113</v>
      </c>
      <c r="G62" s="17" t="s">
        <v>29</v>
      </c>
      <c r="H62" s="6" t="s">
        <v>169</v>
      </c>
      <c r="I62" s="5">
        <v>46123</v>
      </c>
      <c r="J62" s="18" t="s">
        <v>170</v>
      </c>
      <c r="K62" s="18" t="s">
        <v>32</v>
      </c>
      <c r="L62" s="36">
        <v>46126</v>
      </c>
      <c r="M62" s="29">
        <f ca="1" t="shared" si="1"/>
        <v>3</v>
      </c>
      <c r="N62" s="19" t="s">
        <v>78</v>
      </c>
      <c r="T62" s="3" t="s">
        <v>39</v>
      </c>
      <c r="U62" s="3" t="s">
        <v>32</v>
      </c>
      <c r="W62" s="36">
        <v>46126</v>
      </c>
    </row>
    <row r="63" hidden="1" customHeight="1" spans="1:23">
      <c r="A63" s="17" t="s">
        <v>87</v>
      </c>
      <c r="B63" s="17" t="s">
        <v>88</v>
      </c>
      <c r="C63" s="3" t="s">
        <v>171</v>
      </c>
      <c r="D63" s="3">
        <v>1046</v>
      </c>
      <c r="E63" s="18" t="s">
        <v>150</v>
      </c>
      <c r="F63" s="5">
        <v>46094</v>
      </c>
      <c r="G63" s="17" t="s">
        <v>66</v>
      </c>
      <c r="H63" s="6" t="s">
        <v>172</v>
      </c>
      <c r="I63" s="40">
        <v>46122</v>
      </c>
      <c r="J63" s="18" t="s">
        <v>173</v>
      </c>
      <c r="K63" s="18" t="s">
        <v>32</v>
      </c>
      <c r="L63" s="21">
        <v>46140</v>
      </c>
      <c r="M63" s="29">
        <f ca="1" t="shared" si="1"/>
        <v>18</v>
      </c>
      <c r="N63" s="19" t="s">
        <v>174</v>
      </c>
      <c r="T63" s="3" t="s">
        <v>39</v>
      </c>
      <c r="U63" s="3" t="s">
        <v>32</v>
      </c>
      <c r="W63" s="36">
        <v>46140</v>
      </c>
    </row>
    <row r="64" hidden="1" customHeight="1" spans="1:23">
      <c r="A64" s="17" t="s">
        <v>87</v>
      </c>
      <c r="B64" s="17" t="s">
        <v>88</v>
      </c>
      <c r="C64" s="17" t="s">
        <v>175</v>
      </c>
      <c r="D64" s="3">
        <v>1046</v>
      </c>
      <c r="E64" s="18" t="s">
        <v>150</v>
      </c>
      <c r="F64" s="5">
        <v>46094</v>
      </c>
      <c r="G64" s="17" t="s">
        <v>66</v>
      </c>
      <c r="H64" s="6" t="s">
        <v>172</v>
      </c>
      <c r="I64" s="40">
        <v>46122</v>
      </c>
      <c r="J64" s="18"/>
      <c r="K64" s="18" t="s">
        <v>32</v>
      </c>
      <c r="L64" s="21">
        <v>46140</v>
      </c>
      <c r="M64" s="29">
        <f ca="1" t="shared" si="1"/>
        <v>18</v>
      </c>
      <c r="T64" s="3" t="s">
        <v>39</v>
      </c>
      <c r="U64" s="3" t="s">
        <v>32</v>
      </c>
      <c r="W64" s="36">
        <v>46140</v>
      </c>
    </row>
    <row r="65" hidden="1" customHeight="1" spans="1:23">
      <c r="A65" s="17" t="s">
        <v>48</v>
      </c>
      <c r="B65" s="24" t="s">
        <v>49</v>
      </c>
      <c r="C65" s="2" t="s">
        <v>176</v>
      </c>
      <c r="D65" s="2">
        <v>1120</v>
      </c>
      <c r="E65" s="18" t="s">
        <v>138</v>
      </c>
      <c r="F65" s="5">
        <v>46115</v>
      </c>
      <c r="G65" s="17" t="s">
        <v>177</v>
      </c>
      <c r="H65" s="19" t="s">
        <v>178</v>
      </c>
      <c r="I65" s="5">
        <v>46122</v>
      </c>
      <c r="J65" s="18" t="s">
        <v>179</v>
      </c>
      <c r="K65" s="18" t="s">
        <v>32</v>
      </c>
      <c r="L65" s="36">
        <v>46149</v>
      </c>
      <c r="M65" s="29">
        <f ca="1" t="shared" si="1"/>
        <v>27</v>
      </c>
      <c r="N65" s="19" t="s">
        <v>180</v>
      </c>
      <c r="T65" s="3" t="s">
        <v>39</v>
      </c>
      <c r="U65" s="3" t="s">
        <v>32</v>
      </c>
      <c r="W65" s="36">
        <v>46149</v>
      </c>
    </row>
    <row r="66" hidden="1" customHeight="1" spans="1:23">
      <c r="A66" s="17" t="s">
        <v>48</v>
      </c>
      <c r="B66" s="24" t="s">
        <v>49</v>
      </c>
      <c r="C66" s="2" t="s">
        <v>181</v>
      </c>
      <c r="D66" s="2">
        <v>1080</v>
      </c>
      <c r="E66" s="18" t="s">
        <v>138</v>
      </c>
      <c r="F66" s="5">
        <v>46115</v>
      </c>
      <c r="G66" s="17" t="s">
        <v>177</v>
      </c>
      <c r="H66" s="19" t="s">
        <v>178</v>
      </c>
      <c r="I66" s="5">
        <v>46122</v>
      </c>
      <c r="J66" s="18"/>
      <c r="K66" s="18" t="s">
        <v>32</v>
      </c>
      <c r="L66" s="36">
        <v>46149</v>
      </c>
      <c r="M66" s="29">
        <f ca="1" t="shared" si="1"/>
        <v>27</v>
      </c>
      <c r="N66" s="41"/>
      <c r="T66" s="3" t="s">
        <v>39</v>
      </c>
      <c r="U66" s="3" t="s">
        <v>32</v>
      </c>
      <c r="W66" s="36">
        <v>46149</v>
      </c>
    </row>
    <row r="67" hidden="1" customHeight="1" spans="1:23">
      <c r="A67" s="17" t="s">
        <v>95</v>
      </c>
      <c r="B67" s="24" t="s">
        <v>96</v>
      </c>
      <c r="C67" s="3" t="s">
        <v>182</v>
      </c>
      <c r="D67" s="3">
        <v>1022</v>
      </c>
      <c r="E67" s="4" t="str">
        <f>_xlfn.DISPIMG("ID_158D6902F0E042DE8EE4ACC919F1C263",1)</f>
        <v>=DISPIMG("ID_158D6902F0E042DE8EE4ACC919F1C263",1)</v>
      </c>
      <c r="F67" s="5">
        <v>46113</v>
      </c>
      <c r="G67" s="17" t="s">
        <v>177</v>
      </c>
      <c r="H67" s="19" t="s">
        <v>178</v>
      </c>
      <c r="I67" s="5">
        <v>46123</v>
      </c>
      <c r="J67" s="18" t="s">
        <v>77</v>
      </c>
      <c r="K67" s="18" t="s">
        <v>32</v>
      </c>
      <c r="L67" s="36">
        <v>46129</v>
      </c>
      <c r="M67" s="29">
        <f ca="1" t="shared" si="1"/>
        <v>6</v>
      </c>
      <c r="N67" s="19" t="s">
        <v>78</v>
      </c>
      <c r="T67" s="2" t="s">
        <v>39</v>
      </c>
      <c r="U67" s="3" t="s">
        <v>32</v>
      </c>
      <c r="V67" s="5"/>
      <c r="W67" s="5"/>
    </row>
    <row r="68" hidden="1" customHeight="1" spans="1:23">
      <c r="A68" s="17" t="s">
        <v>95</v>
      </c>
      <c r="B68" s="24" t="s">
        <v>96</v>
      </c>
      <c r="C68" s="3" t="s">
        <v>183</v>
      </c>
      <c r="D68" s="3">
        <v>1022</v>
      </c>
      <c r="F68" s="5">
        <v>46113</v>
      </c>
      <c r="G68" s="17" t="s">
        <v>177</v>
      </c>
      <c r="H68" s="19" t="s">
        <v>178</v>
      </c>
      <c r="I68" s="5">
        <v>46123</v>
      </c>
      <c r="K68" s="18" t="s">
        <v>32</v>
      </c>
      <c r="L68" s="36">
        <v>46129</v>
      </c>
      <c r="M68" s="29">
        <f ca="1" t="shared" si="1"/>
        <v>6</v>
      </c>
      <c r="T68" s="2" t="s">
        <v>39</v>
      </c>
      <c r="U68" s="3" t="s">
        <v>32</v>
      </c>
      <c r="V68" s="5"/>
      <c r="W68" s="5"/>
    </row>
    <row r="69" hidden="1" customHeight="1" spans="1:23">
      <c r="A69" s="17" t="s">
        <v>95</v>
      </c>
      <c r="B69" s="24" t="s">
        <v>96</v>
      </c>
      <c r="C69" s="3" t="s">
        <v>184</v>
      </c>
      <c r="D69" s="3">
        <v>1022</v>
      </c>
      <c r="F69" s="5">
        <v>46113</v>
      </c>
      <c r="G69" s="17" t="s">
        <v>177</v>
      </c>
      <c r="H69" s="19" t="s">
        <v>178</v>
      </c>
      <c r="I69" s="5">
        <v>46123</v>
      </c>
      <c r="K69" s="18" t="s">
        <v>32</v>
      </c>
      <c r="L69" s="36">
        <v>46129</v>
      </c>
      <c r="M69" s="29">
        <f ca="1" t="shared" si="1"/>
        <v>6</v>
      </c>
      <c r="T69" s="2" t="s">
        <v>39</v>
      </c>
      <c r="U69" s="3" t="s">
        <v>32</v>
      </c>
      <c r="V69" s="5"/>
      <c r="W69" s="5"/>
    </row>
    <row r="70" hidden="1" customHeight="1" spans="1:23">
      <c r="A70" s="17" t="s">
        <v>95</v>
      </c>
      <c r="B70" s="24" t="s">
        <v>96</v>
      </c>
      <c r="C70" s="3" t="s">
        <v>185</v>
      </c>
      <c r="D70" s="3">
        <v>1022</v>
      </c>
      <c r="F70" s="5">
        <v>46113</v>
      </c>
      <c r="G70" s="17" t="s">
        <v>177</v>
      </c>
      <c r="H70" s="19" t="s">
        <v>178</v>
      </c>
      <c r="I70" s="5">
        <v>46123</v>
      </c>
      <c r="K70" s="18" t="s">
        <v>32</v>
      </c>
      <c r="L70" s="36">
        <v>46129</v>
      </c>
      <c r="M70" s="29">
        <f ca="1" t="shared" si="1"/>
        <v>6</v>
      </c>
      <c r="T70" s="2" t="s">
        <v>39</v>
      </c>
      <c r="U70" s="3" t="s">
        <v>32</v>
      </c>
      <c r="V70" s="5"/>
      <c r="W70" s="5"/>
    </row>
    <row r="71" hidden="1" customHeight="1" spans="1:23">
      <c r="A71" s="17" t="s">
        <v>87</v>
      </c>
      <c r="B71" s="24" t="s">
        <v>186</v>
      </c>
      <c r="C71" s="17" t="s">
        <v>187</v>
      </c>
      <c r="D71" s="3">
        <v>634</v>
      </c>
      <c r="E71" s="18" t="s">
        <v>188</v>
      </c>
      <c r="F71" s="5">
        <v>46122</v>
      </c>
      <c r="G71" s="17" t="s">
        <v>104</v>
      </c>
      <c r="H71" s="6" t="s">
        <v>189</v>
      </c>
      <c r="I71" s="40">
        <v>46127</v>
      </c>
      <c r="J71" s="18" t="s">
        <v>190</v>
      </c>
      <c r="K71" s="18" t="s">
        <v>32</v>
      </c>
      <c r="L71" s="36">
        <v>46129</v>
      </c>
      <c r="M71" s="29">
        <f ca="1" t="shared" si="1"/>
        <v>2</v>
      </c>
      <c r="N71" s="19" t="s">
        <v>191</v>
      </c>
      <c r="T71" s="2" t="s">
        <v>32</v>
      </c>
      <c r="U71" s="2" t="s">
        <v>39</v>
      </c>
      <c r="V71" s="36">
        <v>46129</v>
      </c>
    </row>
    <row r="72" hidden="1" customHeight="1" spans="1:23">
      <c r="A72" s="17" t="s">
        <v>48</v>
      </c>
      <c r="B72" s="24" t="s">
        <v>49</v>
      </c>
      <c r="C72" s="42" t="s">
        <v>192</v>
      </c>
      <c r="D72" s="42">
        <v>371</v>
      </c>
      <c r="E72" s="18" t="s">
        <v>193</v>
      </c>
      <c r="F72" s="5">
        <v>46122</v>
      </c>
      <c r="G72" s="17" t="s">
        <v>66</v>
      </c>
      <c r="H72" s="6" t="s">
        <v>143</v>
      </c>
      <c r="I72" s="5">
        <v>46131</v>
      </c>
      <c r="J72" s="18" t="s">
        <v>194</v>
      </c>
      <c r="K72" s="18" t="s">
        <v>32</v>
      </c>
      <c r="L72" s="5">
        <v>46132</v>
      </c>
      <c r="M72" s="29">
        <f ca="1" t="shared" si="1"/>
        <v>1</v>
      </c>
      <c r="N72" s="19" t="s">
        <v>78</v>
      </c>
      <c r="T72" s="3" t="s">
        <v>39</v>
      </c>
      <c r="U72" s="3" t="s">
        <v>32</v>
      </c>
      <c r="W72" s="5">
        <v>46132</v>
      </c>
    </row>
    <row r="73" hidden="1" customHeight="1" spans="1:23">
      <c r="A73" s="17" t="s">
        <v>48</v>
      </c>
      <c r="B73" s="24" t="s">
        <v>49</v>
      </c>
      <c r="C73" s="42" t="s">
        <v>195</v>
      </c>
      <c r="D73" s="42">
        <v>371</v>
      </c>
      <c r="E73" s="18" t="s">
        <v>193</v>
      </c>
      <c r="F73" s="5">
        <v>46122</v>
      </c>
      <c r="G73" s="17" t="s">
        <v>66</v>
      </c>
      <c r="H73" s="6" t="s">
        <v>143</v>
      </c>
      <c r="I73" s="5">
        <v>46131</v>
      </c>
      <c r="J73" s="18"/>
      <c r="K73" s="18" t="s">
        <v>32</v>
      </c>
      <c r="L73" s="5">
        <v>46132</v>
      </c>
      <c r="M73" s="29">
        <f ca="1" t="shared" si="1"/>
        <v>1</v>
      </c>
      <c r="N73" s="41"/>
      <c r="T73" s="3" t="s">
        <v>39</v>
      </c>
      <c r="U73" s="3" t="s">
        <v>32</v>
      </c>
      <c r="W73" s="5">
        <v>46132</v>
      </c>
    </row>
    <row r="74" hidden="1" customHeight="1" spans="1:23">
      <c r="A74" s="17" t="s">
        <v>48</v>
      </c>
      <c r="B74" s="24" t="s">
        <v>49</v>
      </c>
      <c r="C74" s="42" t="s">
        <v>196</v>
      </c>
      <c r="D74" s="42">
        <v>371</v>
      </c>
      <c r="E74" s="18" t="s">
        <v>193</v>
      </c>
      <c r="F74" s="5">
        <v>46122</v>
      </c>
      <c r="G74" s="17" t="s">
        <v>66</v>
      </c>
      <c r="H74" s="6" t="s">
        <v>143</v>
      </c>
      <c r="I74" s="5">
        <v>46131</v>
      </c>
      <c r="J74" s="18"/>
      <c r="K74" s="18" t="s">
        <v>32</v>
      </c>
      <c r="L74" s="5">
        <v>46132</v>
      </c>
      <c r="M74" s="29">
        <f ca="1" t="shared" si="1"/>
        <v>1</v>
      </c>
      <c r="N74" s="41"/>
      <c r="T74" s="3" t="s">
        <v>39</v>
      </c>
      <c r="U74" s="3" t="s">
        <v>32</v>
      </c>
      <c r="W74" s="5">
        <v>46132</v>
      </c>
    </row>
    <row r="75" hidden="1" customHeight="1" spans="1:23">
      <c r="A75" s="17" t="s">
        <v>48</v>
      </c>
      <c r="B75" s="24" t="s">
        <v>49</v>
      </c>
      <c r="C75" s="42" t="s">
        <v>197</v>
      </c>
      <c r="D75" s="42">
        <v>371</v>
      </c>
      <c r="E75" s="18" t="s">
        <v>193</v>
      </c>
      <c r="F75" s="5">
        <v>46122</v>
      </c>
      <c r="G75" s="17" t="s">
        <v>66</v>
      </c>
      <c r="H75" s="6" t="s">
        <v>143</v>
      </c>
      <c r="I75" s="5">
        <v>46131</v>
      </c>
      <c r="J75" s="18"/>
      <c r="K75" s="18" t="s">
        <v>32</v>
      </c>
      <c r="L75" s="5">
        <v>46132</v>
      </c>
      <c r="M75" s="29">
        <f ca="1" t="shared" si="1"/>
        <v>1</v>
      </c>
      <c r="N75" s="41"/>
      <c r="T75" s="3" t="s">
        <v>39</v>
      </c>
      <c r="U75" s="3" t="s">
        <v>32</v>
      </c>
      <c r="W75" s="5">
        <v>46132</v>
      </c>
    </row>
    <row r="76" hidden="1" customHeight="1" spans="1:23">
      <c r="A76" s="17" t="s">
        <v>48</v>
      </c>
      <c r="B76" s="24" t="s">
        <v>49</v>
      </c>
      <c r="C76" s="42" t="s">
        <v>198</v>
      </c>
      <c r="D76" s="42">
        <v>371</v>
      </c>
      <c r="E76" s="18" t="s">
        <v>193</v>
      </c>
      <c r="F76" s="5">
        <v>46122</v>
      </c>
      <c r="G76" s="17" t="s">
        <v>66</v>
      </c>
      <c r="H76" s="6" t="s">
        <v>143</v>
      </c>
      <c r="I76" s="5">
        <v>46131</v>
      </c>
      <c r="J76" s="18"/>
      <c r="K76" s="18" t="s">
        <v>32</v>
      </c>
      <c r="L76" s="5">
        <v>46132</v>
      </c>
      <c r="M76" s="29">
        <f ca="1" t="shared" si="1"/>
        <v>1</v>
      </c>
      <c r="N76" s="41"/>
      <c r="T76" s="3" t="s">
        <v>39</v>
      </c>
      <c r="U76" s="3" t="s">
        <v>32</v>
      </c>
      <c r="W76" s="5">
        <v>46132</v>
      </c>
    </row>
    <row r="77" ht="30" hidden="1" customHeight="1" spans="1:23">
      <c r="A77" s="17" t="s">
        <v>87</v>
      </c>
      <c r="B77" s="17" t="s">
        <v>88</v>
      </c>
      <c r="C77" s="3" t="s">
        <v>199</v>
      </c>
      <c r="D77" s="3">
        <v>1313</v>
      </c>
      <c r="E77" s="18" t="s">
        <v>150</v>
      </c>
      <c r="F77" s="43">
        <v>46126</v>
      </c>
      <c r="G77" s="17" t="s">
        <v>66</v>
      </c>
      <c r="H77" s="19" t="s">
        <v>200</v>
      </c>
      <c r="I77" s="40">
        <v>46133</v>
      </c>
      <c r="J77" s="18" t="s">
        <v>201</v>
      </c>
      <c r="K77" s="18" t="s">
        <v>32</v>
      </c>
      <c r="L77" s="21">
        <v>46141</v>
      </c>
      <c r="M77" s="29">
        <f ca="1" t="shared" si="1"/>
        <v>8</v>
      </c>
      <c r="N77" s="19" t="s">
        <v>202</v>
      </c>
      <c r="T77" s="3" t="s">
        <v>32</v>
      </c>
      <c r="U77" s="3" t="s">
        <v>39</v>
      </c>
      <c r="W77" s="36">
        <v>46141</v>
      </c>
    </row>
    <row r="78" ht="30" hidden="1" customHeight="1" spans="1:23">
      <c r="A78" s="17" t="s">
        <v>87</v>
      </c>
      <c r="B78" s="17" t="s">
        <v>88</v>
      </c>
      <c r="C78" s="3" t="s">
        <v>203</v>
      </c>
      <c r="D78" s="3">
        <v>1313</v>
      </c>
      <c r="E78" s="18" t="s">
        <v>150</v>
      </c>
      <c r="F78" s="43">
        <v>46126</v>
      </c>
      <c r="G78" s="17" t="s">
        <v>66</v>
      </c>
      <c r="H78" s="19" t="s">
        <v>200</v>
      </c>
      <c r="I78" s="40">
        <v>46133</v>
      </c>
      <c r="K78" s="18" t="s">
        <v>32</v>
      </c>
      <c r="L78" s="21">
        <v>46141</v>
      </c>
      <c r="M78" s="29">
        <f ca="1" t="shared" si="1"/>
        <v>8</v>
      </c>
      <c r="T78" s="3" t="s">
        <v>32</v>
      </c>
      <c r="U78" s="3" t="s">
        <v>39</v>
      </c>
      <c r="W78" s="36">
        <v>46141</v>
      </c>
    </row>
    <row r="79" hidden="1" customHeight="1" spans="1:23">
      <c r="A79" s="17" t="s">
        <v>95</v>
      </c>
      <c r="B79" s="24" t="s">
        <v>96</v>
      </c>
      <c r="C79" s="44" t="s">
        <v>204</v>
      </c>
      <c r="D79" s="44">
        <v>688</v>
      </c>
      <c r="E79" s="4" t="str">
        <f>_xlfn.DISPIMG("ID_1F9206A4BF9A45FFBDBE186585BF1015",1)</f>
        <v>=DISPIMG("ID_1F9206A4BF9A45FFBDBE186585BF1015",1)</v>
      </c>
      <c r="F79" s="5">
        <v>46121</v>
      </c>
      <c r="G79" s="17" t="s">
        <v>66</v>
      </c>
      <c r="H79" s="6" t="s">
        <v>108</v>
      </c>
      <c r="I79" s="40">
        <v>46127</v>
      </c>
      <c r="J79" s="18" t="s">
        <v>114</v>
      </c>
      <c r="K79" s="18" t="s">
        <v>32</v>
      </c>
      <c r="L79" s="5">
        <v>46134</v>
      </c>
      <c r="M79" s="29">
        <f ca="1" t="shared" si="1"/>
        <v>7</v>
      </c>
      <c r="N79" s="18" t="s">
        <v>78</v>
      </c>
      <c r="T79" s="3" t="s">
        <v>32</v>
      </c>
      <c r="U79" s="3" t="s">
        <v>39</v>
      </c>
      <c r="V79" s="5">
        <v>46134</v>
      </c>
    </row>
    <row r="80" hidden="1" customHeight="1" spans="1:23">
      <c r="A80" s="17" t="s">
        <v>95</v>
      </c>
      <c r="B80" s="24" t="s">
        <v>96</v>
      </c>
      <c r="C80" s="44" t="s">
        <v>205</v>
      </c>
      <c r="D80" s="44">
        <v>688</v>
      </c>
      <c r="F80" s="5">
        <v>46121</v>
      </c>
      <c r="G80" s="17" t="s">
        <v>66</v>
      </c>
      <c r="H80" s="6" t="s">
        <v>67</v>
      </c>
      <c r="I80" s="40">
        <v>46127</v>
      </c>
      <c r="J80" s="18"/>
      <c r="K80" s="18" t="s">
        <v>32</v>
      </c>
      <c r="L80" s="5">
        <v>46134</v>
      </c>
      <c r="M80" s="29">
        <f ca="1" t="shared" si="1"/>
        <v>7</v>
      </c>
      <c r="N80" s="4"/>
      <c r="T80" s="3" t="s">
        <v>32</v>
      </c>
      <c r="U80" s="3" t="s">
        <v>39</v>
      </c>
      <c r="V80" s="5">
        <v>46134</v>
      </c>
    </row>
    <row r="81" hidden="1" customHeight="1" spans="1:23">
      <c r="A81" s="17" t="s">
        <v>95</v>
      </c>
      <c r="B81" s="24" t="s">
        <v>96</v>
      </c>
      <c r="C81" s="44" t="s">
        <v>206</v>
      </c>
      <c r="D81" s="44">
        <v>688</v>
      </c>
      <c r="F81" s="5">
        <v>46121</v>
      </c>
      <c r="G81" s="17" t="s">
        <v>66</v>
      </c>
      <c r="H81" s="6" t="s">
        <v>67</v>
      </c>
      <c r="I81" s="40">
        <v>46127</v>
      </c>
      <c r="J81" s="18"/>
      <c r="K81" s="18" t="s">
        <v>32</v>
      </c>
      <c r="L81" s="5">
        <v>46134</v>
      </c>
      <c r="M81" s="29">
        <f ca="1" t="shared" si="1"/>
        <v>7</v>
      </c>
      <c r="N81" s="4"/>
      <c r="T81" s="3" t="s">
        <v>32</v>
      </c>
      <c r="U81" s="3" t="s">
        <v>39</v>
      </c>
      <c r="V81" s="5">
        <v>46134</v>
      </c>
    </row>
    <row r="82" hidden="1" customHeight="1" spans="1:23">
      <c r="A82" s="17" t="s">
        <v>95</v>
      </c>
      <c r="B82" s="24" t="s">
        <v>96</v>
      </c>
      <c r="C82" s="44" t="s">
        <v>207</v>
      </c>
      <c r="D82" s="44">
        <v>688</v>
      </c>
      <c r="F82" s="5">
        <v>46121</v>
      </c>
      <c r="G82" s="17" t="s">
        <v>66</v>
      </c>
      <c r="H82" s="6" t="s">
        <v>108</v>
      </c>
      <c r="I82" s="40">
        <v>46127</v>
      </c>
      <c r="J82" s="18"/>
      <c r="K82" s="18" t="s">
        <v>32</v>
      </c>
      <c r="L82" s="5">
        <v>46134</v>
      </c>
      <c r="M82" s="29">
        <f ca="1" t="shared" si="1"/>
        <v>7</v>
      </c>
      <c r="N82" s="4"/>
      <c r="T82" s="3" t="s">
        <v>32</v>
      </c>
      <c r="U82" s="3" t="s">
        <v>39</v>
      </c>
      <c r="V82" s="5">
        <v>46134</v>
      </c>
    </row>
    <row r="83" hidden="1" customHeight="1" spans="1:23">
      <c r="A83" s="17" t="s">
        <v>95</v>
      </c>
      <c r="B83" s="24" t="s">
        <v>96</v>
      </c>
      <c r="C83" s="44" t="s">
        <v>208</v>
      </c>
      <c r="D83" s="44">
        <v>688</v>
      </c>
      <c r="F83" s="5">
        <v>46121</v>
      </c>
      <c r="G83" s="17" t="s">
        <v>66</v>
      </c>
      <c r="H83" s="6" t="s">
        <v>67</v>
      </c>
      <c r="I83" s="40">
        <v>46127</v>
      </c>
      <c r="J83" s="18"/>
      <c r="K83" s="18" t="s">
        <v>32</v>
      </c>
      <c r="L83" s="5">
        <v>46134</v>
      </c>
      <c r="M83" s="29">
        <f ca="1" t="shared" si="1"/>
        <v>7</v>
      </c>
      <c r="N83" s="4"/>
      <c r="T83" s="3" t="s">
        <v>32</v>
      </c>
      <c r="U83" s="3" t="s">
        <v>39</v>
      </c>
      <c r="V83" s="5">
        <v>46134</v>
      </c>
    </row>
    <row r="84" hidden="1" customHeight="1" spans="1:23">
      <c r="A84" s="17" t="s">
        <v>95</v>
      </c>
      <c r="B84" s="24" t="s">
        <v>96</v>
      </c>
      <c r="C84" s="3" t="s">
        <v>209</v>
      </c>
      <c r="D84" s="3">
        <v>1078</v>
      </c>
      <c r="E84" s="4" t="str">
        <f>_xlfn.DISPIMG("ID_899B0DD7D6814291B8FFFA033A6B8F52",1)</f>
        <v>=DISPIMG("ID_899B0DD7D6814291B8FFFA033A6B8F52",1)</v>
      </c>
      <c r="F84" s="5">
        <v>46128</v>
      </c>
      <c r="G84" s="17" t="s">
        <v>104</v>
      </c>
      <c r="H84" s="6" t="s">
        <v>210</v>
      </c>
      <c r="I84" s="40">
        <v>46133</v>
      </c>
      <c r="J84" s="18" t="s">
        <v>211</v>
      </c>
      <c r="K84" s="18" t="s">
        <v>32</v>
      </c>
      <c r="L84" s="5">
        <v>46142</v>
      </c>
      <c r="M84" s="29">
        <f ca="1" t="shared" si="1"/>
        <v>9</v>
      </c>
      <c r="N84" s="18" t="s">
        <v>78</v>
      </c>
      <c r="T84" s="3" t="s">
        <v>39</v>
      </c>
      <c r="U84" s="3" t="s">
        <v>32</v>
      </c>
    </row>
    <row r="85" hidden="1" customHeight="1" spans="1:23">
      <c r="A85" s="17" t="s">
        <v>95</v>
      </c>
      <c r="B85" s="24" t="s">
        <v>96</v>
      </c>
      <c r="C85" s="3" t="s">
        <v>212</v>
      </c>
      <c r="D85" s="3">
        <v>1078</v>
      </c>
      <c r="F85" s="5">
        <v>46128</v>
      </c>
      <c r="G85" s="17" t="s">
        <v>104</v>
      </c>
      <c r="H85" s="6" t="s">
        <v>210</v>
      </c>
      <c r="I85" s="40">
        <v>46133</v>
      </c>
      <c r="K85" s="18" t="s">
        <v>32</v>
      </c>
      <c r="L85" s="5">
        <v>46142</v>
      </c>
      <c r="M85" s="29">
        <f ca="1" t="shared" si="1"/>
        <v>9</v>
      </c>
      <c r="N85" s="4"/>
      <c r="T85" s="3" t="s">
        <v>39</v>
      </c>
      <c r="U85" s="3" t="s">
        <v>32</v>
      </c>
    </row>
    <row r="86" ht="47.8" hidden="1" customHeight="1" spans="1:23">
      <c r="A86" s="17" t="s">
        <v>95</v>
      </c>
      <c r="B86" s="24" t="s">
        <v>96</v>
      </c>
      <c r="C86" s="17" t="s">
        <v>213</v>
      </c>
      <c r="D86" s="3">
        <v>408</v>
      </c>
      <c r="E86" s="18" t="str">
        <f>_xlfn.DISPIMG("ID_3054F46BB86C42929225CC1D06423939",1)</f>
        <v>=DISPIMG("ID_3054F46BB86C42929225CC1D06423939",1)</v>
      </c>
      <c r="F86" s="5">
        <v>46141</v>
      </c>
      <c r="G86" s="17" t="s">
        <v>66</v>
      </c>
      <c r="H86" s="19" t="s">
        <v>214</v>
      </c>
      <c r="I86" s="5">
        <v>46151</v>
      </c>
      <c r="J86" s="18" t="s">
        <v>215</v>
      </c>
      <c r="K86" s="18" t="s">
        <v>32</v>
      </c>
      <c r="L86" s="5">
        <v>46154</v>
      </c>
      <c r="M86" s="29">
        <f ca="1" t="shared" si="1"/>
        <v>3</v>
      </c>
      <c r="N86" s="18" t="s">
        <v>216</v>
      </c>
      <c r="T86" s="3" t="s">
        <v>39</v>
      </c>
      <c r="U86" s="3" t="s">
        <v>32</v>
      </c>
      <c r="W86" s="5">
        <v>46154</v>
      </c>
    </row>
    <row r="87" ht="47.8" hidden="1" customHeight="1" spans="1:23">
      <c r="A87" s="17" t="s">
        <v>95</v>
      </c>
      <c r="B87" s="24" t="s">
        <v>96</v>
      </c>
      <c r="C87" s="17" t="s">
        <v>217</v>
      </c>
      <c r="D87" s="3">
        <v>408</v>
      </c>
      <c r="E87" s="18"/>
      <c r="F87" s="5">
        <v>46141</v>
      </c>
      <c r="G87" s="17" t="s">
        <v>66</v>
      </c>
      <c r="H87" s="19" t="s">
        <v>214</v>
      </c>
      <c r="I87" s="5">
        <v>46151</v>
      </c>
      <c r="J87" s="18"/>
      <c r="K87" s="18" t="s">
        <v>32</v>
      </c>
      <c r="L87" s="5">
        <v>46154</v>
      </c>
      <c r="M87" s="29">
        <f ca="1" t="shared" si="1"/>
        <v>3</v>
      </c>
      <c r="N87" s="18"/>
      <c r="T87" s="3" t="s">
        <v>39</v>
      </c>
      <c r="U87" s="3" t="s">
        <v>32</v>
      </c>
      <c r="W87" s="5">
        <v>46154</v>
      </c>
    </row>
    <row r="88" ht="47.8" hidden="1" customHeight="1" spans="1:23">
      <c r="A88" s="17" t="s">
        <v>95</v>
      </c>
      <c r="B88" s="24" t="s">
        <v>96</v>
      </c>
      <c r="C88" s="17" t="s">
        <v>218</v>
      </c>
      <c r="D88" s="3">
        <v>408</v>
      </c>
      <c r="E88" s="18"/>
      <c r="F88" s="5">
        <v>46141</v>
      </c>
      <c r="G88" s="17" t="s">
        <v>66</v>
      </c>
      <c r="H88" s="19" t="s">
        <v>214</v>
      </c>
      <c r="I88" s="5">
        <v>46151</v>
      </c>
      <c r="J88" s="18"/>
      <c r="K88" s="18" t="s">
        <v>32</v>
      </c>
      <c r="L88" s="5">
        <v>46154</v>
      </c>
      <c r="M88" s="29">
        <f ca="1" t="shared" si="1"/>
        <v>3</v>
      </c>
      <c r="N88" s="18"/>
      <c r="T88" s="3" t="s">
        <v>39</v>
      </c>
      <c r="U88" s="3" t="s">
        <v>32</v>
      </c>
      <c r="W88" s="5">
        <v>46154</v>
      </c>
    </row>
    <row r="89" ht="47.8" hidden="1" customHeight="1" spans="1:23">
      <c r="A89" s="17" t="s">
        <v>95</v>
      </c>
      <c r="B89" s="24" t="s">
        <v>96</v>
      </c>
      <c r="C89" s="17" t="s">
        <v>219</v>
      </c>
      <c r="D89" s="3">
        <v>408</v>
      </c>
      <c r="E89" s="18"/>
      <c r="F89" s="5">
        <v>46141</v>
      </c>
      <c r="G89" s="17" t="s">
        <v>66</v>
      </c>
      <c r="H89" s="19" t="s">
        <v>214</v>
      </c>
      <c r="I89" s="5">
        <v>46151</v>
      </c>
      <c r="J89" s="18"/>
      <c r="K89" s="18" t="s">
        <v>32</v>
      </c>
      <c r="L89" s="5">
        <v>46154</v>
      </c>
      <c r="M89" s="29">
        <f ca="1" t="shared" si="1"/>
        <v>3</v>
      </c>
      <c r="N89" s="18"/>
      <c r="T89" s="3" t="s">
        <v>39</v>
      </c>
      <c r="U89" s="3" t="s">
        <v>32</v>
      </c>
      <c r="W89" s="5">
        <v>46154</v>
      </c>
    </row>
    <row r="90" ht="47.8" hidden="1" customHeight="1" spans="1:23">
      <c r="A90" s="17" t="s">
        <v>95</v>
      </c>
      <c r="B90" s="24" t="s">
        <v>96</v>
      </c>
      <c r="C90" s="17" t="s">
        <v>220</v>
      </c>
      <c r="D90" s="3">
        <v>408</v>
      </c>
      <c r="E90" s="18"/>
      <c r="F90" s="5">
        <v>46141</v>
      </c>
      <c r="G90" s="17" t="s">
        <v>66</v>
      </c>
      <c r="H90" s="19" t="s">
        <v>214</v>
      </c>
      <c r="I90" s="5">
        <v>46151</v>
      </c>
      <c r="J90" s="18"/>
      <c r="K90" s="18" t="s">
        <v>32</v>
      </c>
      <c r="L90" s="5">
        <v>46154</v>
      </c>
      <c r="M90" s="29">
        <f ca="1" t="shared" si="1"/>
        <v>3</v>
      </c>
      <c r="N90" s="18"/>
      <c r="T90" s="3" t="s">
        <v>39</v>
      </c>
      <c r="U90" s="3" t="s">
        <v>32</v>
      </c>
      <c r="W90" s="5">
        <v>46154</v>
      </c>
    </row>
    <row r="91" ht="47.8" hidden="1" customHeight="1" spans="1:23">
      <c r="A91" s="17" t="s">
        <v>87</v>
      </c>
      <c r="B91" s="24" t="s">
        <v>186</v>
      </c>
      <c r="C91" s="17" t="s">
        <v>221</v>
      </c>
      <c r="D91" s="3">
        <v>1554</v>
      </c>
      <c r="E91" s="18" t="s">
        <v>188</v>
      </c>
      <c r="F91" s="5">
        <v>46136</v>
      </c>
      <c r="G91" s="17" t="s">
        <v>104</v>
      </c>
      <c r="H91" s="19" t="s">
        <v>189</v>
      </c>
      <c r="I91" s="40">
        <v>46140</v>
      </c>
      <c r="J91" s="18" t="s">
        <v>222</v>
      </c>
      <c r="K91" s="18" t="s">
        <v>32</v>
      </c>
      <c r="L91" s="21">
        <v>46142</v>
      </c>
      <c r="M91" s="29">
        <f ca="1" t="shared" si="1"/>
        <v>2</v>
      </c>
      <c r="N91" s="19" t="s">
        <v>223</v>
      </c>
      <c r="T91" s="3" t="s">
        <v>32</v>
      </c>
      <c r="U91" s="3" t="s">
        <v>39</v>
      </c>
      <c r="W91" s="36">
        <v>46142</v>
      </c>
    </row>
    <row r="92" hidden="1" customHeight="1" spans="1:23">
      <c r="A92" s="17" t="s">
        <v>48</v>
      </c>
      <c r="B92" s="17" t="s">
        <v>59</v>
      </c>
      <c r="C92" s="45" t="s">
        <v>224</v>
      </c>
      <c r="D92" s="45">
        <v>59</v>
      </c>
      <c r="E92" s="18" t="s">
        <v>61</v>
      </c>
      <c r="F92" s="5">
        <v>46135</v>
      </c>
      <c r="G92" s="17" t="s">
        <v>66</v>
      </c>
      <c r="H92" s="19" t="s">
        <v>143</v>
      </c>
      <c r="I92" s="5">
        <v>46144</v>
      </c>
      <c r="J92" s="18" t="s">
        <v>194</v>
      </c>
      <c r="K92" s="18" t="s">
        <v>32</v>
      </c>
      <c r="L92" s="5">
        <v>46145</v>
      </c>
      <c r="M92" s="29">
        <f ca="1" t="shared" ref="M92:M109" si="2">IF(L92="暂未",TODAY()-I92,L92-I92)</f>
        <v>1</v>
      </c>
      <c r="N92" s="19" t="s">
        <v>78</v>
      </c>
      <c r="T92" s="3" t="s">
        <v>39</v>
      </c>
      <c r="U92" s="3" t="s">
        <v>32</v>
      </c>
      <c r="W92" s="5">
        <v>46145</v>
      </c>
    </row>
    <row r="93" hidden="1" customHeight="1" spans="1:23">
      <c r="A93" s="17" t="s">
        <v>48</v>
      </c>
      <c r="B93" s="17" t="s">
        <v>59</v>
      </c>
      <c r="C93" s="45" t="s">
        <v>225</v>
      </c>
      <c r="D93" s="45">
        <v>59</v>
      </c>
      <c r="E93" s="18" t="s">
        <v>61</v>
      </c>
      <c r="F93" s="5">
        <v>46135</v>
      </c>
      <c r="G93" s="17" t="s">
        <v>66</v>
      </c>
      <c r="H93" s="19" t="s">
        <v>143</v>
      </c>
      <c r="I93" s="5">
        <v>46144</v>
      </c>
      <c r="K93" s="18" t="s">
        <v>32</v>
      </c>
      <c r="L93" s="5">
        <v>46145</v>
      </c>
      <c r="M93" s="29">
        <f ca="1" t="shared" si="2"/>
        <v>1</v>
      </c>
      <c r="T93" s="3" t="s">
        <v>39</v>
      </c>
      <c r="U93" s="3" t="s">
        <v>32</v>
      </c>
      <c r="W93" s="5">
        <v>46145</v>
      </c>
    </row>
    <row r="94" hidden="1" customHeight="1" spans="1:23">
      <c r="A94" s="17" t="s">
        <v>48</v>
      </c>
      <c r="B94" s="17" t="s">
        <v>59</v>
      </c>
      <c r="C94" s="45" t="s">
        <v>226</v>
      </c>
      <c r="D94" s="45">
        <v>59</v>
      </c>
      <c r="E94" s="18" t="s">
        <v>61</v>
      </c>
      <c r="F94" s="5">
        <v>46135</v>
      </c>
      <c r="G94" s="17" t="s">
        <v>66</v>
      </c>
      <c r="H94" s="19" t="s">
        <v>143</v>
      </c>
      <c r="I94" s="5">
        <v>46144</v>
      </c>
      <c r="K94" s="18" t="s">
        <v>32</v>
      </c>
      <c r="L94" s="5">
        <v>46145</v>
      </c>
      <c r="M94" s="29">
        <f ca="1" t="shared" si="2"/>
        <v>1</v>
      </c>
      <c r="T94" s="3" t="s">
        <v>39</v>
      </c>
      <c r="U94" s="3" t="s">
        <v>32</v>
      </c>
      <c r="W94" s="5">
        <v>46145</v>
      </c>
    </row>
    <row r="95" hidden="1" customHeight="1" spans="1:23">
      <c r="A95" s="17" t="s">
        <v>48</v>
      </c>
      <c r="B95" s="17" t="s">
        <v>59</v>
      </c>
      <c r="C95" s="45" t="s">
        <v>227</v>
      </c>
      <c r="D95" s="45">
        <v>59</v>
      </c>
      <c r="E95" s="18" t="s">
        <v>61</v>
      </c>
      <c r="F95" s="5">
        <v>46135</v>
      </c>
      <c r="G95" s="17" t="s">
        <v>66</v>
      </c>
      <c r="H95" s="19" t="s">
        <v>143</v>
      </c>
      <c r="I95" s="5">
        <v>46144</v>
      </c>
      <c r="K95" s="18" t="s">
        <v>32</v>
      </c>
      <c r="L95" s="5">
        <v>46145</v>
      </c>
      <c r="M95" s="29">
        <f ca="1" t="shared" si="2"/>
        <v>1</v>
      </c>
      <c r="T95" s="3" t="s">
        <v>39</v>
      </c>
      <c r="U95" s="3" t="s">
        <v>32</v>
      </c>
      <c r="W95" s="5">
        <v>46145</v>
      </c>
    </row>
    <row r="96" hidden="1" customHeight="1" spans="1:23">
      <c r="A96" s="17" t="s">
        <v>48</v>
      </c>
      <c r="B96" s="17" t="s">
        <v>59</v>
      </c>
      <c r="C96" s="45" t="s">
        <v>228</v>
      </c>
      <c r="D96" s="45">
        <v>59</v>
      </c>
      <c r="E96" s="18" t="s">
        <v>61</v>
      </c>
      <c r="F96" s="5">
        <v>46135</v>
      </c>
      <c r="G96" s="17" t="s">
        <v>66</v>
      </c>
      <c r="H96" s="19" t="s">
        <v>143</v>
      </c>
      <c r="I96" s="5">
        <v>46144</v>
      </c>
      <c r="K96" s="18" t="s">
        <v>32</v>
      </c>
      <c r="L96" s="5">
        <v>46145</v>
      </c>
      <c r="M96" s="29">
        <f ca="1" t="shared" si="2"/>
        <v>1</v>
      </c>
      <c r="T96" s="3" t="s">
        <v>39</v>
      </c>
      <c r="U96" s="3" t="s">
        <v>32</v>
      </c>
      <c r="W96" s="5">
        <v>46145</v>
      </c>
    </row>
    <row r="97" hidden="1" customHeight="1" spans="1:23">
      <c r="A97" s="17" t="s">
        <v>48</v>
      </c>
      <c r="B97" s="17" t="s">
        <v>59</v>
      </c>
      <c r="C97" s="45" t="s">
        <v>229</v>
      </c>
      <c r="D97" s="45">
        <v>32</v>
      </c>
      <c r="E97" s="18" t="s">
        <v>61</v>
      </c>
      <c r="F97" s="5">
        <v>46135</v>
      </c>
      <c r="G97" s="17" t="s">
        <v>66</v>
      </c>
      <c r="H97" s="19" t="s">
        <v>143</v>
      </c>
      <c r="I97" s="5">
        <v>46144</v>
      </c>
      <c r="K97" s="18" t="s">
        <v>32</v>
      </c>
      <c r="L97" s="5">
        <v>46145</v>
      </c>
      <c r="M97" s="29">
        <f ca="1" t="shared" si="2"/>
        <v>1</v>
      </c>
      <c r="T97" s="3" t="s">
        <v>39</v>
      </c>
      <c r="U97" s="3" t="s">
        <v>32</v>
      </c>
      <c r="W97" s="5">
        <v>46145</v>
      </c>
    </row>
    <row r="98" hidden="1" customHeight="1" spans="1:23">
      <c r="A98" s="17" t="s">
        <v>48</v>
      </c>
      <c r="B98" s="17" t="s">
        <v>49</v>
      </c>
      <c r="C98" s="45" t="s">
        <v>230</v>
      </c>
      <c r="D98" s="45">
        <v>3440</v>
      </c>
      <c r="E98" s="18" t="s">
        <v>158</v>
      </c>
      <c r="F98" s="5">
        <v>46135</v>
      </c>
      <c r="G98" s="17" t="s">
        <v>66</v>
      </c>
      <c r="H98" s="19" t="s">
        <v>143</v>
      </c>
      <c r="I98" s="5">
        <v>46144</v>
      </c>
      <c r="K98" s="18" t="s">
        <v>32</v>
      </c>
      <c r="L98" s="5">
        <v>46145</v>
      </c>
      <c r="M98" s="29">
        <f ca="1" t="shared" si="2"/>
        <v>1</v>
      </c>
      <c r="T98" s="3" t="s">
        <v>39</v>
      </c>
      <c r="U98" s="3" t="s">
        <v>32</v>
      </c>
      <c r="W98" s="5">
        <v>46145</v>
      </c>
    </row>
    <row r="99" hidden="1" customHeight="1" spans="1:23">
      <c r="A99" s="17" t="s">
        <v>48</v>
      </c>
      <c r="B99" s="17" t="s">
        <v>49</v>
      </c>
      <c r="C99" s="46" t="s">
        <v>231</v>
      </c>
      <c r="D99" s="46">
        <v>2026</v>
      </c>
      <c r="E99" s="18" t="s">
        <v>232</v>
      </c>
      <c r="F99" s="5">
        <v>46142</v>
      </c>
      <c r="G99" s="47" t="s">
        <v>66</v>
      </c>
      <c r="H99" s="48" t="s">
        <v>200</v>
      </c>
      <c r="I99" s="5">
        <v>46147</v>
      </c>
      <c r="J99" s="18" t="s">
        <v>114</v>
      </c>
      <c r="K99" s="18" t="s">
        <v>32</v>
      </c>
      <c r="L99" s="5">
        <v>46153</v>
      </c>
      <c r="M99" s="29">
        <f ca="1" t="shared" si="2"/>
        <v>6</v>
      </c>
      <c r="N99" s="19" t="s">
        <v>233</v>
      </c>
      <c r="T99" s="3" t="s">
        <v>32</v>
      </c>
      <c r="U99" s="3" t="s">
        <v>39</v>
      </c>
      <c r="V99" s="5">
        <v>46153</v>
      </c>
    </row>
    <row r="100" hidden="1" customHeight="1" spans="1:23">
      <c r="A100" s="17" t="s">
        <v>48</v>
      </c>
      <c r="B100" s="17" t="s">
        <v>49</v>
      </c>
      <c r="C100" s="46" t="s">
        <v>234</v>
      </c>
      <c r="D100" s="46">
        <v>1612</v>
      </c>
      <c r="E100" s="18" t="s">
        <v>232</v>
      </c>
      <c r="F100" s="5">
        <v>46142</v>
      </c>
      <c r="G100" s="47" t="s">
        <v>66</v>
      </c>
      <c r="H100" s="48" t="s">
        <v>200</v>
      </c>
      <c r="I100" s="5">
        <v>46147</v>
      </c>
      <c r="J100" s="18"/>
      <c r="K100" s="18" t="s">
        <v>32</v>
      </c>
      <c r="L100" s="5">
        <v>46153</v>
      </c>
      <c r="M100" s="29">
        <f ca="1" t="shared" si="2"/>
        <v>6</v>
      </c>
      <c r="N100" s="19"/>
      <c r="T100" s="3" t="s">
        <v>32</v>
      </c>
      <c r="U100" s="3" t="s">
        <v>39</v>
      </c>
      <c r="V100" s="5">
        <v>46153</v>
      </c>
    </row>
    <row r="101" hidden="1" customHeight="1" spans="1:23">
      <c r="A101" s="17" t="s">
        <v>48</v>
      </c>
      <c r="B101" s="17" t="s">
        <v>49</v>
      </c>
      <c r="C101" s="3" t="s">
        <v>235</v>
      </c>
      <c r="D101" s="46">
        <v>1651</v>
      </c>
      <c r="E101" s="18" t="s">
        <v>232</v>
      </c>
      <c r="F101" s="5">
        <v>46142</v>
      </c>
      <c r="G101" s="47" t="s">
        <v>66</v>
      </c>
      <c r="H101" s="48" t="s">
        <v>236</v>
      </c>
      <c r="I101" s="5">
        <v>46148</v>
      </c>
      <c r="J101" s="18"/>
      <c r="K101" s="18" t="s">
        <v>32</v>
      </c>
      <c r="L101" s="5">
        <v>46149</v>
      </c>
      <c r="M101" s="29">
        <f ca="1" t="shared" si="2"/>
        <v>1</v>
      </c>
      <c r="N101" s="19" t="s">
        <v>237</v>
      </c>
      <c r="T101" s="3" t="s">
        <v>32</v>
      </c>
      <c r="U101" s="3" t="s">
        <v>39</v>
      </c>
      <c r="V101" s="5">
        <v>46149</v>
      </c>
    </row>
    <row r="102" hidden="1" customHeight="1" spans="1:23">
      <c r="A102" s="17" t="s">
        <v>48</v>
      </c>
      <c r="B102" s="17" t="s">
        <v>49</v>
      </c>
      <c r="C102" s="3" t="s">
        <v>238</v>
      </c>
      <c r="D102" s="46">
        <v>1870</v>
      </c>
      <c r="E102" s="18" t="s">
        <v>232</v>
      </c>
      <c r="F102" s="5">
        <v>46142</v>
      </c>
      <c r="G102" s="47" t="s">
        <v>66</v>
      </c>
      <c r="H102" s="48" t="s">
        <v>236</v>
      </c>
      <c r="I102" s="5">
        <v>46148</v>
      </c>
      <c r="J102" s="18"/>
      <c r="K102" s="18" t="s">
        <v>32</v>
      </c>
      <c r="L102" s="5">
        <v>46149</v>
      </c>
      <c r="M102" s="29">
        <f ca="1" t="shared" si="2"/>
        <v>1</v>
      </c>
      <c r="N102" s="19"/>
      <c r="T102" s="3" t="s">
        <v>32</v>
      </c>
      <c r="U102" s="3" t="s">
        <v>39</v>
      </c>
      <c r="V102" s="5">
        <v>46149</v>
      </c>
    </row>
    <row r="103" hidden="1" customHeight="1" spans="1:23">
      <c r="A103" s="17" t="s">
        <v>48</v>
      </c>
      <c r="B103" s="17" t="s">
        <v>117</v>
      </c>
      <c r="C103" s="3" t="s">
        <v>239</v>
      </c>
      <c r="D103" s="3">
        <v>2225</v>
      </c>
      <c r="E103" s="18" t="s">
        <v>240</v>
      </c>
      <c r="F103" s="5">
        <v>46141</v>
      </c>
      <c r="G103" s="17" t="s">
        <v>104</v>
      </c>
      <c r="H103" s="19" t="s">
        <v>241</v>
      </c>
      <c r="I103" s="5">
        <v>46148</v>
      </c>
      <c r="J103" s="18" t="s">
        <v>121</v>
      </c>
      <c r="K103" s="18" t="s">
        <v>32</v>
      </c>
      <c r="L103" s="5">
        <v>46148</v>
      </c>
      <c r="M103" s="29">
        <f ca="1" t="shared" si="2"/>
        <v>0</v>
      </c>
      <c r="N103" s="19" t="s">
        <v>78</v>
      </c>
      <c r="T103" s="3" t="s">
        <v>32</v>
      </c>
      <c r="U103" s="3" t="s">
        <v>39</v>
      </c>
      <c r="V103" s="5">
        <v>46148</v>
      </c>
      <c r="W103" s="5"/>
    </row>
    <row r="104" hidden="1" customHeight="1" spans="1:23">
      <c r="A104" s="17" t="s">
        <v>48</v>
      </c>
      <c r="B104" s="17" t="s">
        <v>49</v>
      </c>
      <c r="C104" s="3" t="s">
        <v>242</v>
      </c>
      <c r="D104" s="3">
        <v>1201</v>
      </c>
      <c r="E104" s="18" t="s">
        <v>243</v>
      </c>
      <c r="F104" s="5">
        <v>46142</v>
      </c>
      <c r="G104" s="17" t="s">
        <v>66</v>
      </c>
      <c r="H104" s="19" t="s">
        <v>143</v>
      </c>
      <c r="I104" s="5">
        <v>46151</v>
      </c>
      <c r="J104" s="18" t="s">
        <v>215</v>
      </c>
      <c r="K104" s="18" t="s">
        <v>32</v>
      </c>
      <c r="L104" s="5">
        <v>46155</v>
      </c>
      <c r="M104" s="29">
        <f ca="1" t="shared" si="2"/>
        <v>4</v>
      </c>
      <c r="N104" s="19" t="s">
        <v>244</v>
      </c>
      <c r="T104" s="3" t="s">
        <v>39</v>
      </c>
      <c r="U104" s="3" t="s">
        <v>32</v>
      </c>
      <c r="W104" s="5">
        <v>46155</v>
      </c>
    </row>
    <row r="105" hidden="1" customHeight="1" spans="1:23">
      <c r="A105" s="17" t="s">
        <v>48</v>
      </c>
      <c r="B105" s="17" t="s">
        <v>49</v>
      </c>
      <c r="C105" s="3" t="s">
        <v>245</v>
      </c>
      <c r="D105" s="3">
        <v>1161</v>
      </c>
      <c r="E105" s="18" t="s">
        <v>243</v>
      </c>
      <c r="F105" s="5">
        <v>46142</v>
      </c>
      <c r="G105" s="17" t="s">
        <v>66</v>
      </c>
      <c r="H105" s="19" t="s">
        <v>143</v>
      </c>
      <c r="I105" s="5">
        <v>46151</v>
      </c>
      <c r="K105" s="18" t="s">
        <v>32</v>
      </c>
      <c r="L105" s="5">
        <v>46155</v>
      </c>
      <c r="M105" s="29">
        <f ca="1" t="shared" si="2"/>
        <v>4</v>
      </c>
      <c r="N105" s="41"/>
      <c r="T105" s="3" t="s">
        <v>39</v>
      </c>
      <c r="U105" s="3" t="s">
        <v>32</v>
      </c>
      <c r="W105" s="5">
        <v>46155</v>
      </c>
    </row>
    <row r="106" hidden="1" customHeight="1" spans="1:23">
      <c r="A106" s="17" t="s">
        <v>48</v>
      </c>
      <c r="B106" s="17" t="s">
        <v>49</v>
      </c>
      <c r="C106" s="3" t="s">
        <v>246</v>
      </c>
      <c r="D106" s="3">
        <v>1161</v>
      </c>
      <c r="E106" s="18" t="s">
        <v>243</v>
      </c>
      <c r="F106" s="5">
        <v>46142</v>
      </c>
      <c r="G106" s="17" t="s">
        <v>66</v>
      </c>
      <c r="H106" s="19" t="s">
        <v>143</v>
      </c>
      <c r="I106" s="5">
        <v>46151</v>
      </c>
      <c r="K106" s="18" t="s">
        <v>32</v>
      </c>
      <c r="L106" s="5">
        <v>46155</v>
      </c>
      <c r="M106" s="29">
        <f ca="1" t="shared" si="2"/>
        <v>4</v>
      </c>
      <c r="N106" s="41"/>
      <c r="T106" s="3" t="s">
        <v>39</v>
      </c>
      <c r="U106" s="3" t="s">
        <v>32</v>
      </c>
      <c r="W106" s="5">
        <v>46155</v>
      </c>
    </row>
    <row r="107" hidden="1" customHeight="1" spans="1:23">
      <c r="A107" s="17" t="s">
        <v>48</v>
      </c>
      <c r="B107" s="17" t="s">
        <v>49</v>
      </c>
      <c r="C107" s="3" t="s">
        <v>247</v>
      </c>
      <c r="D107" s="3">
        <v>2474</v>
      </c>
      <c r="E107" s="18" t="s">
        <v>65</v>
      </c>
      <c r="F107" s="5">
        <v>46137</v>
      </c>
      <c r="G107" s="17" t="s">
        <v>66</v>
      </c>
      <c r="H107" s="19" t="s">
        <v>236</v>
      </c>
      <c r="I107" s="5">
        <v>46151</v>
      </c>
      <c r="J107" s="25" t="s">
        <v>248</v>
      </c>
      <c r="K107" s="18" t="s">
        <v>32</v>
      </c>
      <c r="L107" s="5">
        <v>46162</v>
      </c>
      <c r="M107" s="29">
        <f ca="1" t="shared" si="2"/>
        <v>11</v>
      </c>
      <c r="N107" s="19" t="s">
        <v>249</v>
      </c>
      <c r="T107" s="3" t="s">
        <v>39</v>
      </c>
      <c r="U107" s="3" t="s">
        <v>32</v>
      </c>
      <c r="W107" s="5">
        <v>46162</v>
      </c>
    </row>
    <row r="108" hidden="1" customHeight="1" spans="1:23">
      <c r="A108" s="17" t="s">
        <v>48</v>
      </c>
      <c r="B108" s="17" t="s">
        <v>49</v>
      </c>
      <c r="C108" s="3" t="s">
        <v>250</v>
      </c>
      <c r="D108" s="3">
        <v>2360</v>
      </c>
      <c r="E108" s="18" t="s">
        <v>65</v>
      </c>
      <c r="F108" s="5">
        <v>46137</v>
      </c>
      <c r="G108" s="17" t="s">
        <v>66</v>
      </c>
      <c r="H108" s="19" t="s">
        <v>236</v>
      </c>
      <c r="I108" s="5">
        <v>46151</v>
      </c>
      <c r="J108" s="37"/>
      <c r="K108" s="18" t="s">
        <v>32</v>
      </c>
      <c r="L108" s="5">
        <v>46162</v>
      </c>
      <c r="M108" s="29">
        <f ca="1" t="shared" si="2"/>
        <v>11</v>
      </c>
      <c r="N108" s="41"/>
      <c r="T108" s="3" t="s">
        <v>39</v>
      </c>
      <c r="U108" s="3" t="s">
        <v>32</v>
      </c>
      <c r="W108" s="5">
        <v>46162</v>
      </c>
    </row>
    <row r="109" hidden="1" customHeight="1" spans="1:23">
      <c r="A109" s="17" t="s">
        <v>48</v>
      </c>
      <c r="B109" s="17" t="s">
        <v>49</v>
      </c>
      <c r="C109" s="3" t="s">
        <v>251</v>
      </c>
      <c r="D109" s="3">
        <v>3176</v>
      </c>
      <c r="E109" s="18" t="s">
        <v>65</v>
      </c>
      <c r="F109" s="5">
        <v>46137</v>
      </c>
      <c r="G109" s="17" t="s">
        <v>66</v>
      </c>
      <c r="H109" s="19" t="s">
        <v>252</v>
      </c>
      <c r="I109" s="5">
        <v>46151</v>
      </c>
      <c r="J109" s="37"/>
      <c r="K109" s="18" t="s">
        <v>32</v>
      </c>
      <c r="L109" s="5">
        <v>46162</v>
      </c>
      <c r="M109" s="29">
        <f ca="1" t="shared" si="2"/>
        <v>11</v>
      </c>
      <c r="N109" s="41"/>
      <c r="T109" s="3" t="s">
        <v>39</v>
      </c>
      <c r="U109" s="3" t="s">
        <v>32</v>
      </c>
      <c r="W109" s="5">
        <v>46162</v>
      </c>
    </row>
    <row r="110" hidden="1" customHeight="1" spans="1:23">
      <c r="A110" s="17" t="s">
        <v>95</v>
      </c>
      <c r="B110" s="47" t="s">
        <v>186</v>
      </c>
      <c r="C110" s="3" t="s">
        <v>253</v>
      </c>
      <c r="D110" s="3">
        <v>272</v>
      </c>
      <c r="E110" s="4" t="str">
        <f>_xlfn.DISPIMG("ID_27FC3A75D7C74ACF92F877FABF3AB021",1)</f>
        <v>=DISPIMG("ID_27FC3A75D7C74ACF92F877FABF3AB021",1)</v>
      </c>
      <c r="F110" s="49">
        <v>46151</v>
      </c>
      <c r="G110" s="39" t="s">
        <v>104</v>
      </c>
      <c r="H110" s="50" t="s">
        <v>189</v>
      </c>
      <c r="I110" s="5">
        <v>46154</v>
      </c>
      <c r="J110" s="18" t="s">
        <v>254</v>
      </c>
      <c r="K110" s="18" t="s">
        <v>32</v>
      </c>
      <c r="L110" s="21">
        <v>46156</v>
      </c>
      <c r="M110" s="29">
        <f ca="1">IF(L110="暂未",TODAY()-I110,L110-I110)</f>
        <v>2</v>
      </c>
      <c r="N110" s="19" t="s">
        <v>78</v>
      </c>
      <c r="T110" s="3" t="s">
        <v>32</v>
      </c>
      <c r="V110" s="5">
        <v>46156</v>
      </c>
    </row>
    <row r="111" hidden="1" customHeight="1" spans="1:23">
      <c r="A111" s="17" t="s">
        <v>48</v>
      </c>
      <c r="B111" s="17" t="s">
        <v>49</v>
      </c>
      <c r="C111" s="3" t="s">
        <v>255</v>
      </c>
      <c r="D111" s="3">
        <v>933</v>
      </c>
      <c r="E111" s="18" t="s">
        <v>256</v>
      </c>
      <c r="F111" s="49">
        <v>46150</v>
      </c>
      <c r="G111" s="39" t="s">
        <v>104</v>
      </c>
      <c r="H111" s="19" t="s">
        <v>210</v>
      </c>
      <c r="I111" s="5">
        <v>46156</v>
      </c>
      <c r="J111" s="18" t="s">
        <v>257</v>
      </c>
      <c r="K111" s="18" t="s">
        <v>32</v>
      </c>
      <c r="L111" s="5">
        <v>46156</v>
      </c>
      <c r="M111" s="29">
        <f ca="1">IF(L111="暂未",TODAY()-I111,L111-I111)</f>
        <v>0</v>
      </c>
      <c r="N111" s="19" t="s">
        <v>78</v>
      </c>
      <c r="T111" s="3" t="s">
        <v>39</v>
      </c>
      <c r="U111" s="3" t="s">
        <v>32</v>
      </c>
      <c r="W111" s="5">
        <v>46156</v>
      </c>
    </row>
    <row r="112" hidden="1" customHeight="1" spans="1:23">
      <c r="A112" s="17" t="s">
        <v>48</v>
      </c>
      <c r="B112" s="17" t="s">
        <v>49</v>
      </c>
      <c r="C112" s="3" t="s">
        <v>258</v>
      </c>
      <c r="D112" s="3">
        <v>857</v>
      </c>
      <c r="E112" s="18" t="s">
        <v>256</v>
      </c>
      <c r="F112" s="49">
        <v>46150</v>
      </c>
      <c r="G112" s="39" t="s">
        <v>104</v>
      </c>
      <c r="H112" s="19" t="s">
        <v>210</v>
      </c>
      <c r="I112" s="5">
        <v>46156</v>
      </c>
      <c r="K112" s="18" t="s">
        <v>32</v>
      </c>
      <c r="L112" s="5">
        <v>46156</v>
      </c>
      <c r="M112" s="29">
        <f ca="1">IF(L112="暂未",TODAY()-I112,L112-I112)</f>
        <v>0</v>
      </c>
      <c r="T112" s="3" t="s">
        <v>39</v>
      </c>
      <c r="U112" s="3" t="s">
        <v>32</v>
      </c>
      <c r="W112" s="5">
        <v>46156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W112" etc:filterBottomFollowUsedRange="1">
    <filterColumn colId="10">
      <customFilters>
        <customFilter operator="equal" val="否"/>
      </customFilters>
    </filterColumn>
    <extLst/>
  </autoFilter>
  <mergeCells count="63">
    <mergeCell ref="E22:E24"/>
    <mergeCell ref="E26:E27"/>
    <mergeCell ref="E28:E29"/>
    <mergeCell ref="E47:E51"/>
    <mergeCell ref="E67:E70"/>
    <mergeCell ref="E79:E83"/>
    <mergeCell ref="E84:E85"/>
    <mergeCell ref="E86:E90"/>
    <mergeCell ref="H52:H56"/>
    <mergeCell ref="J4:J5"/>
    <mergeCell ref="J7:J9"/>
    <mergeCell ref="J12:J16"/>
    <mergeCell ref="J17:J21"/>
    <mergeCell ref="J22:J24"/>
    <mergeCell ref="J30:J32"/>
    <mergeCell ref="J47:J51"/>
    <mergeCell ref="J52:J56"/>
    <mergeCell ref="J57:J59"/>
    <mergeCell ref="J60:J61"/>
    <mergeCell ref="J63:J64"/>
    <mergeCell ref="J65:J66"/>
    <mergeCell ref="J67:J70"/>
    <mergeCell ref="J72:J76"/>
    <mergeCell ref="J77:J78"/>
    <mergeCell ref="J79:J83"/>
    <mergeCell ref="J84:J85"/>
    <mergeCell ref="J86:J90"/>
    <mergeCell ref="J92:J98"/>
    <mergeCell ref="J99:J102"/>
    <mergeCell ref="J104:J106"/>
    <mergeCell ref="J107:J109"/>
    <mergeCell ref="J111:J112"/>
    <mergeCell ref="N4:N5"/>
    <mergeCell ref="N7:N9"/>
    <mergeCell ref="N12:N16"/>
    <mergeCell ref="N17:N21"/>
    <mergeCell ref="N22:N24"/>
    <mergeCell ref="N26:N29"/>
    <mergeCell ref="N30:N32"/>
    <mergeCell ref="N47:N51"/>
    <mergeCell ref="N52:N56"/>
    <mergeCell ref="N57:N59"/>
    <mergeCell ref="N60:N61"/>
    <mergeCell ref="N63:N64"/>
    <mergeCell ref="N65:N66"/>
    <mergeCell ref="N67:N70"/>
    <mergeCell ref="N72:N76"/>
    <mergeCell ref="N77:N78"/>
    <mergeCell ref="N79:N83"/>
    <mergeCell ref="N84:N85"/>
    <mergeCell ref="N86:N90"/>
    <mergeCell ref="N92:N98"/>
    <mergeCell ref="N99:N100"/>
    <mergeCell ref="N101:N102"/>
    <mergeCell ref="N104:N106"/>
    <mergeCell ref="N107:N109"/>
    <mergeCell ref="N111:N112"/>
    <mergeCell ref="O52:O56"/>
    <mergeCell ref="P4:P5"/>
    <mergeCell ref="P7:P9"/>
    <mergeCell ref="Q4:Q5"/>
    <mergeCell ref="Q7:Q9"/>
    <mergeCell ref="S4:S5"/>
  </mergeCells>
  <conditionalFormatting sqref="C$1:C$1048576">
    <cfRule type="expression" dxfId="0" priority="4">
      <formula>AND(SUMPRODUCT(IFERROR(1*(($C$1:$C$1048576&amp;"x")=(C1&amp;"x")),0))&gt;1,NOT(ISBLANK(C1)))</formula>
    </cfRule>
  </conditionalFormatting>
  <conditionalFormatting sqref="K$1:K$1048576">
    <cfRule type="containsText" dxfId="1" priority="1" operator="between" text="否">
      <formula>NOT(ISERROR(SEARCH("否",K1)))</formula>
    </cfRule>
  </conditionalFormatting>
  <dataValidations count="1">
    <dataValidation type="list" allowBlank="1" showErrorMessage="1" errorTitle="错误提示" error="请输入下拉列表中的值" sqref="T1:U2 T3:U5 T6:U46 T47:U109 T110:U112 T113:U1048576" errorStyle="information">
      <formula1>"是,否"</formula1>
    </dataValidation>
  </dataValidation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&T &T  NkQ wZ!`  NkQ &T /f sO*t 
</file>

<file path=customXml/item3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D5662047-3127-477A-AC3A-1D340467FB41}">
  <ds:schemaRefs/>
</ds:datastoreItem>
</file>

<file path=customXml/itemProps3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WWO_wpscloud_20260508175737-a9385e8bc7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汇总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龚艳</cp:lastModifiedBy>
  <dcterms:created xsi:type="dcterms:W3CDTF">2018-08-23T00:28:00Z</dcterms:created>
  <dcterms:modified xsi:type="dcterms:W3CDTF">2026-05-26T02:44:18Z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CalculationRule">
    <vt:i4>0</vt:i4>
  </property>
  <property fmtid="{D5CDD505-2E9C-101B-9397-08002B2CF9AE}" pid="4" name="ICV">
    <vt:lpwstr>E7A6C7163ECA49E197818671C0C692CE_12</vt:lpwstr>
  </property>
</Properties>
</file>