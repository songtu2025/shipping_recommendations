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汇总" sheetId="1" r:id="rId1"/>
    <sheet name="查验赔偿" sheetId="5" r:id="rId2"/>
    <sheet name="一八合同条款" sheetId="4" r:id="rId3"/>
    <sheet name="WpsReserved_CellImgList" sheetId="2" state="veryHidden" r:id="rId4"/>
  </sheets>
  <definedNames>
    <definedName name="_xlnm._FilterDatabase" localSheetId="0" hidden="1">汇总!$A$1:$X$168</definedName>
  </definedNames>
  <calcPr calcId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326E261A4594CC187A7735D9BEF4AAE" descr="post_object_image_4161240763"/>
        <xdr:cNvPicPr/>
      </xdr:nvPicPr>
      <xdr:blipFill>
        <a:blip r:embed="rId1"/>
        <a:stretch>
          <a:fillRect/>
        </a:stretch>
      </xdr:blipFill>
      <xdr:spPr>
        <a:xfrm>
          <a:off x="0" y="0"/>
          <a:ext cx="2857500" cy="2451100"/>
        </a:xfrm>
        <a:prstGeom prst="rect">
          <a:avLst/>
        </a:prstGeom>
      </xdr:spPr>
    </xdr:pic>
  </etc:cellImage>
  <etc:cellImage>
    <xdr:pic>
      <xdr:nvPicPr>
        <xdr:cNvPr id="4" name="ID_2379718950024BA6B5BCA86EB1A3CEA4" descr="post_object_image_3141806773"/>
        <xdr:cNvPicPr/>
      </xdr:nvPicPr>
      <xdr:blipFill>
        <a:blip r:embed="rId2"/>
        <a:stretch>
          <a:fillRect/>
        </a:stretch>
      </xdr:blipFill>
      <xdr:spPr>
        <a:xfrm>
          <a:off x="0" y="0"/>
          <a:ext cx="2768600" cy="3962400"/>
        </a:xfrm>
        <a:prstGeom prst="rect">
          <a:avLst/>
        </a:prstGeom>
      </xdr:spPr>
    </xdr:pic>
  </etc:cellImage>
  <etc:cellImage>
    <xdr:pic>
      <xdr:nvPicPr>
        <xdr:cNvPr id="5" name="ID_41176A73349546F7AEC1D05FB64C5190" descr="post_object_image_2406527256"/>
        <xdr:cNvPicPr/>
      </xdr:nvPicPr>
      <xdr:blipFill>
        <a:blip r:embed="rId3"/>
        <a:stretch>
          <a:fillRect/>
        </a:stretch>
      </xdr:blipFill>
      <xdr:spPr>
        <a:xfrm>
          <a:off x="0" y="0"/>
          <a:ext cx="2781300" cy="3124200"/>
        </a:xfrm>
        <a:prstGeom prst="rect">
          <a:avLst/>
        </a:prstGeom>
      </xdr:spPr>
    </xdr:pic>
  </etc:cellImage>
  <etc:cellImage>
    <xdr:pic>
      <xdr:nvPicPr>
        <xdr:cNvPr id="6" name="ID_715AC9F59FDF4BEDAECE27054FC44A37" descr="post_object_image_3803120183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3368675"/>
        </a:xfrm>
        <a:prstGeom prst="rect">
          <a:avLst/>
        </a:prstGeom>
      </xdr:spPr>
    </xdr:pic>
  </etc:cellImage>
  <etc:cellImage>
    <xdr:pic>
      <xdr:nvPicPr>
        <xdr:cNvPr id="7" name="ID_AB88ED8313CE409FB5D9281787BEB3CF" descr="post_object_image_2188618493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1929765"/>
        </a:xfrm>
        <a:prstGeom prst="rect">
          <a:avLst/>
        </a:prstGeom>
      </xdr:spPr>
    </xdr:pic>
  </etc:cellImage>
  <etc:cellImage>
    <xdr:pic>
      <xdr:nvPicPr>
        <xdr:cNvPr id="8" name="ID_DD4E6AEA64E3436793F4A84A3CC8623D" descr="post_object_image_3107687512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1487170"/>
        </a:xfrm>
        <a:prstGeom prst="rect">
          <a:avLst/>
        </a:prstGeom>
      </xdr:spPr>
    </xdr:pic>
  </etc:cellImage>
  <etc:cellImage>
    <xdr:pic>
      <xdr:nvPicPr>
        <xdr:cNvPr id="3" name="ID_934C0F4E693C44B782439CF3FF9BD46B" descr="post_object_image_3169108363"/>
        <xdr:cNvPicPr/>
      </xdr:nvPicPr>
      <xdr:blipFill>
        <a:blip r:embed="rId7"/>
        <a:stretch>
          <a:fillRect/>
        </a:stretch>
      </xdr:blipFill>
      <xdr:spPr>
        <a:xfrm>
          <a:off x="0" y="0"/>
          <a:ext cx="1638300" cy="2235200"/>
        </a:xfrm>
        <a:prstGeom prst="rect">
          <a:avLst/>
        </a:prstGeom>
      </xdr:spPr>
    </xdr:pic>
  </etc:cellImage>
  <etc:cellImage>
    <xdr:pic>
      <xdr:nvPicPr>
        <xdr:cNvPr id="9" name="ID_426B9DEB66D24560934526A6BC8F3E29" descr="post_object_image_509750024"/>
        <xdr:cNvPicPr/>
      </xdr:nvPicPr>
      <xdr:blipFill>
        <a:blip r:embed="rId8"/>
        <a:stretch>
          <a:fillRect/>
        </a:stretch>
      </xdr:blipFill>
      <xdr:spPr>
        <a:xfrm>
          <a:off x="0" y="0"/>
          <a:ext cx="3467100" cy="3333750"/>
        </a:xfrm>
        <a:prstGeom prst="rect">
          <a:avLst/>
        </a:prstGeom>
      </xdr:spPr>
    </xdr:pic>
  </etc:cellImage>
  <etc:cellImage>
    <xdr:pic>
      <xdr:nvPicPr>
        <xdr:cNvPr id="10" name="ID_737352BCD0CE4FC2AEBF9D8E90F307B7" descr="post_object_image_2933128297"/>
        <xdr:cNvPicPr/>
      </xdr:nvPicPr>
      <xdr:blipFill>
        <a:blip r:embed="rId8"/>
        <a:stretch>
          <a:fillRect/>
        </a:stretch>
      </xdr:blipFill>
      <xdr:spPr>
        <a:xfrm>
          <a:off x="0" y="0"/>
          <a:ext cx="3467100" cy="3333750"/>
        </a:xfrm>
        <a:prstGeom prst="rect">
          <a:avLst/>
        </a:prstGeom>
      </xdr:spPr>
    </xdr:pic>
  </etc:cellImage>
  <etc:cellImage>
    <xdr:pic>
      <xdr:nvPicPr>
        <xdr:cNvPr id="11" name="ID_855FD27BA79045D0B427E886C5CF4E4C" descr="post_object_image_758451821"/>
        <xdr:cNvPicPr/>
      </xdr:nvPicPr>
      <xdr:blipFill>
        <a:blip r:embed="rId8"/>
        <a:stretch>
          <a:fillRect/>
        </a:stretch>
      </xdr:blipFill>
      <xdr:spPr>
        <a:xfrm>
          <a:off x="0" y="0"/>
          <a:ext cx="3467100" cy="3333750"/>
        </a:xfrm>
        <a:prstGeom prst="rect">
          <a:avLst/>
        </a:prstGeom>
      </xdr:spPr>
    </xdr:pic>
  </etc:cellImage>
  <etc:cellImage>
    <xdr:pic>
      <xdr:nvPicPr>
        <xdr:cNvPr id="13" name="ID_158D6902F0E042DE8EE4ACC919F1C263" descr="post_object_image_1760487547"/>
        <xdr:cNvPicPr/>
      </xdr:nvPicPr>
      <xdr:blipFill>
        <a:blip r:embed="rId9"/>
        <a:stretch>
          <a:fillRect/>
        </a:stretch>
      </xdr:blipFill>
      <xdr:spPr>
        <a:xfrm>
          <a:off x="0" y="0"/>
          <a:ext cx="1828800" cy="3797300"/>
        </a:xfrm>
        <a:prstGeom prst="rect">
          <a:avLst/>
        </a:prstGeom>
      </xdr:spPr>
    </xdr:pic>
  </etc:cellImage>
  <etc:cellImage>
    <xdr:pic>
      <xdr:nvPicPr>
        <xdr:cNvPr id="12" name="ID_1F9206A4BF9A45FFBDBE186585BF1015" descr="post_object_image_140683306"/>
        <xdr:cNvPicPr/>
      </xdr:nvPicPr>
      <xdr:blipFill>
        <a:blip r:embed="rId10"/>
        <a:stretch>
          <a:fillRect/>
        </a:stretch>
      </xdr:blipFill>
      <xdr:spPr>
        <a:xfrm>
          <a:off x="0" y="0"/>
          <a:ext cx="1866900" cy="4597400"/>
        </a:xfrm>
        <a:prstGeom prst="rect">
          <a:avLst/>
        </a:prstGeom>
      </xdr:spPr>
    </xdr:pic>
  </etc:cellImage>
  <etc:cellImage>
    <xdr:pic>
      <xdr:nvPicPr>
        <xdr:cNvPr id="14" name="ID_899B0DD7D6814291B8FFFA033A6B8F52" descr="post_object_image_2012314091"/>
        <xdr:cNvPicPr/>
      </xdr:nvPicPr>
      <xdr:blipFill>
        <a:blip r:embed="rId11"/>
        <a:stretch>
          <a:fillRect/>
        </a:stretch>
      </xdr:blipFill>
      <xdr:spPr>
        <a:xfrm>
          <a:off x="0" y="0"/>
          <a:ext cx="4813300" cy="1574800"/>
        </a:xfrm>
        <a:prstGeom prst="rect">
          <a:avLst/>
        </a:prstGeom>
      </xdr:spPr>
    </xdr:pic>
  </etc:cellImage>
  <etc:cellImage>
    <xdr:pic>
      <xdr:nvPicPr>
        <xdr:cNvPr id="15" name="ID_3054F46BB86C42929225CC1D06423939" descr="post_object_image_2155058339"/>
        <xdr:cNvPicPr/>
      </xdr:nvPicPr>
      <xdr:blipFill>
        <a:blip r:embed="rId12"/>
        <a:stretch>
          <a:fillRect/>
        </a:stretch>
      </xdr:blipFill>
      <xdr:spPr>
        <a:xfrm>
          <a:off x="0" y="0"/>
          <a:ext cx="1803400" cy="2438400"/>
        </a:xfrm>
        <a:prstGeom prst="rect">
          <a:avLst/>
        </a:prstGeom>
      </xdr:spPr>
    </xdr:pic>
  </etc:cellImage>
  <etc:cellImage>
    <xdr:pic>
      <xdr:nvPicPr>
        <xdr:cNvPr id="16" name="ID_27FC3A75D7C74ACF92F877FABF3AB021" descr="post_object_image_580252985"/>
        <xdr:cNvPicPr/>
      </xdr:nvPicPr>
      <xdr:blipFill>
        <a:blip r:embed="rId13"/>
        <a:stretch>
          <a:fillRect/>
        </a:stretch>
      </xdr:blipFill>
      <xdr:spPr>
        <a:xfrm>
          <a:off x="0" y="0"/>
          <a:ext cx="1854200" cy="106680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Unknown User</author>
  </authors>
  <commentList>
    <comment ref="V1" authorId="0">
      <text>
        <r>
          <rPr>
            <b/>
            <sz val="9"/>
            <rFont val="宋体"/>
            <charset val="0"/>
          </rPr>
          <t>陈佳琪:</t>
        </r>
        <r>
          <rPr>
            <sz val="9"/>
            <rFont val="宋体"/>
            <charset val="0"/>
          </rPr>
          <t xml:space="preserve">
1、是否纳入库存计算：查验第一周 填 是；如果物流安排退运 则填否；如果一直没动静 填否
2、纳入库存计算后签收日期：如 退运货件重新发出后，重新纳入库存后的预计签收日期</t>
        </r>
      </text>
    </comment>
  </commentList>
</comments>
</file>

<file path=xl/sharedStrings.xml><?xml version="1.0" encoding="utf-8"?>
<sst xmlns="http://schemas.openxmlformats.org/spreadsheetml/2006/main" count="1527" uniqueCount="510">
  <si>
    <t>登记人</t>
  </si>
  <si>
    <t>店铺站点</t>
  </si>
  <si>
    <t>运单号</t>
  </si>
  <si>
    <t>FBA ID</t>
  </si>
  <si>
    <t>查验数量</t>
  </si>
  <si>
    <t>品类/listing</t>
  </si>
  <si>
    <t>发货时间</t>
  </si>
  <si>
    <t>物流商</t>
  </si>
  <si>
    <t>物流渠道</t>
  </si>
  <si>
    <t>查验原因（需具体）</t>
  </si>
  <si>
    <t>是否放行</t>
  </si>
  <si>
    <t>通知查验时间
-国内</t>
  </si>
  <si>
    <t>放行时间
-国内</t>
  </si>
  <si>
    <t>查验时长
-国内
（公式下拉）</t>
  </si>
  <si>
    <t>通知查验时间
-国外</t>
  </si>
  <si>
    <t>放行时间
-国外</t>
  </si>
  <si>
    <t>查验时长
-国外
（公式下拉）</t>
  </si>
  <si>
    <t>最新进展
物流商反馈预计解决时长</t>
  </si>
  <si>
    <t>本次物流商提供的解决方案</t>
  </si>
  <si>
    <t>（处理太久的类型）是否会再次出现，后续解决方案</t>
  </si>
  <si>
    <t>财务备注</t>
  </si>
  <si>
    <t>是否纳入库存计算</t>
  </si>
  <si>
    <t>纳入库存计算后签收日期</t>
  </si>
  <si>
    <t>丹丹</t>
  </si>
  <si>
    <t>SENWAYZON:US</t>
  </si>
  <si>
    <t>1Z62AV226655896369</t>
  </si>
  <si>
    <t>FBA195DH1F4P(前4箱）</t>
  </si>
  <si>
    <t>SG802</t>
  </si>
  <si>
    <t>原飞航</t>
  </si>
  <si>
    <t>发UHK03香港UPS美国红单大货包税价-特快</t>
  </si>
  <si>
    <t>放行之后又查验，低申报，提高申报后，目的地美国需要正式报关
包税渠道货代是货代控制申报价，不会按照我们给的申报单价进行申报，原飞航反馈一票大概在400-600左右</t>
  </si>
  <si>
    <t>是</t>
  </si>
  <si>
    <r>
      <rPr>
        <sz val="11"/>
        <color rgb="FF000000"/>
        <rFont val="宋体"/>
        <charset val="134"/>
      </rPr>
      <t>进口商那边反馈还是在催促中。仍在等海关处理，这几天都在催，会尽快解决。
3/9重新提交审核资料了，如果重新提交资料还是不行则是申请退运，还在等待审核资料，若退运不能退回国内，只能重新发出或者销毁
3/16更新：2箱已放行，预计3/16送达，2箱未放行，国外进口商在跟进（1Z62AV226657180977、1Z62AV226657291384 ）
3/26更新：可以提前赔付2箱未接收的货值，需要补收2箱已接收的运费
3/30反馈：未接收2箱已放行，后台未上架，后续正常上架之后也是需要补收运费，未上架则赔偿采购货值</t>
    </r>
    <r>
      <rPr>
        <b/>
        <sz val="11"/>
        <color rgb="FF000000"/>
        <rFont val="宋体"/>
        <charset val="134"/>
      </rPr>
      <t xml:space="preserve">
4箱运费7080 --- 3/30仕杰协商4箱运费免除
2箱未上架，赔偿货值</t>
    </r>
  </si>
  <si>
    <t>运费之前已先不付；如果在3/15还没有清关处理出来，先按采购价值赔付，在2月账单去减掉。后续如果清关出来，需要补收（运费和采购价值）---补收情况可以协商</t>
  </si>
  <si>
    <t>是会有的，都不能保证不查验；出货原飞航都是有写固定清关行邮箱的，查验后清关行都是有去解决的，因为包税渠道，实际是和快递模式一样，唯一的利润点是赌不遇到清关查验和税金的多少
原飞航后续出货有在原本的基础上提升一些申报价值</t>
  </si>
  <si>
    <t>1.若完成清关，协商减免运费（我们产品多为季节性产品，清关延误太久，已错过旺季销售期）
2.若退运，需补偿二次运费等相关费用</t>
  </si>
  <si>
    <t>MHMA2601090013</t>
  </si>
  <si>
    <t>FBA195YHK0YJ</t>
  </si>
  <si>
    <t>902+905+934+930</t>
  </si>
  <si>
    <t>一八</t>
  </si>
  <si>
    <t>美森极致达快递派</t>
  </si>
  <si>
    <t>5H查验
该票货物查验目前已由新部门（CBP FAST DOC REVIEW）接管
一八根本原因是保险公司出问题，导致所有与此公司购买保险的物流商都出了问题；一八反馈还有其他物流商反馈是 实体公司问题（一八也没有实体公司）。
在国外会注册公司，之后每一年交税，以及买保险；但一八没有办理实体公司，没有实体在那边去营业去办公。</t>
  </si>
  <si>
    <t>退运，未处理完</t>
  </si>
  <si>
    <r>
      <rPr>
        <b/>
        <sz val="11"/>
        <color rgb="FF000000"/>
        <rFont val="宋体"/>
        <charset val="134"/>
      </rPr>
      <t xml:space="preserve">5/8更新：预计5/17到港。已重新创建给箱贴给一八
新货件：
</t>
    </r>
    <r>
      <rPr>
        <sz val="11"/>
        <color rgb="FF000000"/>
        <rFont val="宋体"/>
        <charset val="134"/>
      </rPr>
      <t xml:space="preserve">FBA19CV5X281
FBA19CV5R7MB
FBA19CV60288
FBA19CV57B3M
FBA19CV3RPV1
</t>
    </r>
    <r>
      <rPr>
        <b/>
        <sz val="11"/>
        <color rgb="FF000000"/>
        <rFont val="宋体"/>
        <charset val="134"/>
      </rPr>
      <t>5/28更新：已给到新货件换标的子单号，待接收</t>
    </r>
  </si>
  <si>
    <t>1、有不同的bond，刚好那个出现问题，被5H查验后，那个bond不会再使用了；一八换保险公司，使用的bond会查询购买保险公司是否存在黑名单问题
3、在美国使用实体办公室清关（如果是设立的实体公司的话，5H查验，即使是保险公司出了问题，也不会产生什么影响），
4、货物清关完成后优先安排自营车辆优先派送
5、退运回来一八将会把货放在监管仓，然后重新申报出口，到目的地需要换标和运费由一八承担。</t>
  </si>
  <si>
    <t>虽然换保险公司，设立实体办公室，但不能担保不会再遇到5H查验，正常来说是已经全部规避了
一八反馈如果再遇到这类型查验肯定是可以过的，已经做好了所有准备</t>
  </si>
  <si>
    <t>否</t>
  </si>
  <si>
    <t>MHMA2601090014</t>
  </si>
  <si>
    <t>FBA195YHK582</t>
  </si>
  <si>
    <t>MHMA2601090015</t>
  </si>
  <si>
    <t>FBA195YJ5VCM</t>
  </si>
  <si>
    <t>MHMA2601090016</t>
  </si>
  <si>
    <t>FBA195YK7HTF</t>
  </si>
  <si>
    <t>MHMA2601090017</t>
  </si>
  <si>
    <t>FBA195YKDZB8</t>
  </si>
  <si>
    <t>佳琪</t>
  </si>
  <si>
    <t>RIVBOS：US</t>
  </si>
  <si>
    <t>ZSAE2601011296</t>
  </si>
  <si>
    <t>FBA195Z5J8KZ</t>
  </si>
  <si>
    <t>美通</t>
  </si>
  <si>
    <t>美通_S6快船专线-S63</t>
  </si>
  <si>
    <t>起运港查验
①走上海港，年底海关案件比较多，查验进展缓慢。
②拼箱混装，柜子有货需要送检，目前还没送。【因案件较多，排队处理进度会慢一点】
③柜子中有手电筒被怀疑是军用手电筒，检验时间较长。</t>
  </si>
  <si>
    <t>预计06.08当周放行</t>
  </si>
  <si>
    <t>拼箱都是要混装的，不能完全避免这类情况查验。已尽量少接/不接易查验产品，美森也不在上海港出了。</t>
  </si>
  <si>
    <t>ZSAE2601011297</t>
  </si>
  <si>
    <t>FBA195Z3P39Z</t>
  </si>
  <si>
    <t>婷怡</t>
  </si>
  <si>
    <t>RIVMOUNT:US</t>
  </si>
  <si>
    <t>MHMA2601070022</t>
  </si>
  <si>
    <t>FBA195TTM7JS</t>
  </si>
  <si>
    <t>SWS001+SWS002</t>
  </si>
  <si>
    <t>退运，已处理完</t>
  </si>
  <si>
    <r>
      <rPr>
        <b/>
        <sz val="11"/>
        <color rgb="FF000000"/>
        <rFont val="宋体"/>
        <charset val="134"/>
      </rPr>
      <t>5/7更新：已重新创建给箱贴给一八更换</t>
    </r>
    <r>
      <rPr>
        <sz val="11"/>
        <color rgb="FF000000"/>
        <rFont val="宋体"/>
        <charset val="134"/>
      </rPr>
      <t xml:space="preserve">
新货件：
FBA19CGYV91P
FBA19CGYVJCS
FBA19CL22RJY
FBA19CL4LWHL
FBA19CL6HV9J
FBA19CL8WFBS
</t>
    </r>
    <r>
      <rPr>
        <b/>
        <sz val="11"/>
        <color rgb="FF000000"/>
        <rFont val="宋体"/>
        <charset val="134"/>
      </rPr>
      <t>5/25更新：新货件均已接收</t>
    </r>
  </si>
  <si>
    <t>MHMA2601070020</t>
  </si>
  <si>
    <t>FBA195TTM6MD</t>
  </si>
  <si>
    <t>MHMA2601070023</t>
  </si>
  <si>
    <t>FBA195TSYT0F</t>
  </si>
  <si>
    <t>MHMA2601070028</t>
  </si>
  <si>
    <t>FBA195V7GXSK</t>
  </si>
  <si>
    <t>MHMA2601070021</t>
  </si>
  <si>
    <t>FBA195TT79TH</t>
  </si>
  <si>
    <t>MHMA2601070019</t>
  </si>
  <si>
    <t>FBA195TTFGRV</t>
  </si>
  <si>
    <t>MHMA2601070025</t>
  </si>
  <si>
    <t>FBA195V6X5F8</t>
  </si>
  <si>
    <r>
      <rPr>
        <b/>
        <sz val="11"/>
        <color rgb="FF000000"/>
        <rFont val="宋体"/>
        <charset val="134"/>
      </rPr>
      <t>5/7更新：已重新创建给箱贴给一八更换</t>
    </r>
    <r>
      <rPr>
        <sz val="11"/>
        <color rgb="FF000000"/>
        <rFont val="宋体"/>
        <charset val="134"/>
      </rPr>
      <t xml:space="preserve">
新货件：
FBA19CG63QT0
FBA19CK8X7J4
FBA19CKCYK3R
FBA19CKQ4NPV
FBA19CKR8PNC
</t>
    </r>
    <r>
      <rPr>
        <b/>
        <sz val="11"/>
        <color rgb="FF000000"/>
        <rFont val="宋体"/>
        <charset val="134"/>
      </rPr>
      <t>5/25更新：新货件均已接收</t>
    </r>
  </si>
  <si>
    <t>MHMA2601070027</t>
  </si>
  <si>
    <t>FBA195V6TDNK</t>
  </si>
  <si>
    <t>MHMA2601070026</t>
  </si>
  <si>
    <t>FBA195V65RDG</t>
  </si>
  <si>
    <t>MHMA2601070029</t>
  </si>
  <si>
    <t>FBA195V6VG59</t>
  </si>
  <si>
    <t>MHMA2601070024</t>
  </si>
  <si>
    <t>FBA195V6G7G9</t>
  </si>
  <si>
    <t>俊鑫</t>
  </si>
  <si>
    <t>TK</t>
  </si>
  <si>
    <t>ST25120501</t>
  </si>
  <si>
    <t>查验的货物海关自从取消免税的政策，货物都要做正式进口，积压较多，清关也久，放行之后又查验</t>
  </si>
  <si>
    <t>无放行，已索赔</t>
  </si>
  <si>
    <r>
      <rPr>
        <sz val="11"/>
        <color rgb="FF000000"/>
        <rFont val="宋体"/>
        <charset val="134"/>
      </rPr>
      <t xml:space="preserve">进口商那边反馈还是在催促中。仍在等海关处理，这几天都在催，会尽快解决
</t>
    </r>
    <r>
      <rPr>
        <b/>
        <sz val="11"/>
        <color rgb="FF000000"/>
        <rFont val="宋体"/>
        <charset val="134"/>
      </rPr>
      <t>3.26申请原飞航索赔，运费加货值</t>
    </r>
  </si>
  <si>
    <t>子恩</t>
  </si>
  <si>
    <t>SEEKWAY:US</t>
  </si>
  <si>
    <t>MHMA2601060023</t>
  </si>
  <si>
    <t>FBA195SH86MG</t>
  </si>
  <si>
    <t>KP006+KP001</t>
  </si>
  <si>
    <t>6/3更新：5/12已签收，接收数量均无差异。没有产生入库绩效费</t>
  </si>
  <si>
    <t>MHMA2601060024</t>
  </si>
  <si>
    <t>FBA195SHZNSR</t>
  </si>
  <si>
    <t>MHMA2601070058</t>
  </si>
  <si>
    <t>FBA195VCXJV9</t>
  </si>
  <si>
    <t>SK002+SK001</t>
  </si>
  <si>
    <t>6/3更新：5/18-5/20已签收接收。
新货件：
FBA19CLCL3PY
FBA19CL98960
FBA19CL5WYR8
FBA19CL8FKL6
FBA19CGZCKH3</t>
  </si>
  <si>
    <t>MHMA2601070059</t>
  </si>
  <si>
    <t>FBA195VDJ97J</t>
  </si>
  <si>
    <t>MHMA2601070056</t>
  </si>
  <si>
    <t>FBA195VBZLFY</t>
  </si>
  <si>
    <t>MHMA2601070064</t>
  </si>
  <si>
    <t>FBA195VDMHXV</t>
  </si>
  <si>
    <t>MHMA2601070057</t>
  </si>
  <si>
    <t>FBA195VC5ZTM</t>
  </si>
  <si>
    <t>MHMA2601090019</t>
  </si>
  <si>
    <t>FBA195YKN50H</t>
  </si>
  <si>
    <r>
      <rPr>
        <b/>
        <sz val="11"/>
        <color rgb="FF000000"/>
        <rFont val="宋体"/>
        <charset val="134"/>
      </rPr>
      <t xml:space="preserve">6/3更新：新货件已填写追踪编码，暂未安排派送
</t>
    </r>
    <r>
      <rPr>
        <sz val="11"/>
        <color rgb="FF000000"/>
        <rFont val="宋体"/>
        <charset val="134"/>
      </rPr>
      <t>新货件：
FBA19CVWQ1XV
FBA19CVZZ17V
FBA19CW0TGJ8
FBA19CW195NX
FBA19CW1DFK0
FBA19CVZCS1L</t>
    </r>
  </si>
  <si>
    <t>MHMA2601090023</t>
  </si>
  <si>
    <t>FBA195YLWB1P</t>
  </si>
  <si>
    <t>MHMA2601090020</t>
  </si>
  <si>
    <t>FBA195YMRVDW</t>
  </si>
  <si>
    <t>MHMA2601090022</t>
  </si>
  <si>
    <t>FBA195YKXBDZ</t>
  </si>
  <si>
    <t>MHMA2601090021</t>
  </si>
  <si>
    <t>FBA195YLC0HF</t>
  </si>
  <si>
    <t>MHMA2601090024</t>
  </si>
  <si>
    <t>FBA195YP221P</t>
  </si>
  <si>
    <t>CIKERWEL:US</t>
  </si>
  <si>
    <t>MHMA2602260016</t>
  </si>
  <si>
    <t>FBA19873ZVR4</t>
  </si>
  <si>
    <t>SP006</t>
  </si>
  <si>
    <t>国内查验</t>
  </si>
  <si>
    <t>已放行。
延误两水。改配船期3/16日开船，预计3/29到港。
随机查验，海关查出一个服装产品要确认是否侵权(非我司产品)。</t>
  </si>
  <si>
    <t>DSL260237429</t>
  </si>
  <si>
    <t>FBA1988DQZY2</t>
  </si>
  <si>
    <t>KP001+SP001</t>
  </si>
  <si>
    <t>德速</t>
  </si>
  <si>
    <t>美森限时达-正班</t>
  </si>
  <si>
    <t>3/14目的港查验，4/28放行
3/3国内查验，3/3放行</t>
  </si>
  <si>
    <t>查验超过30天，三票货件单价减2元，产生了入库缺陷费。算入2026年3月账单。
4/28更新：已放行
起运港查验原因：宁波起运，目前查验多的是买单货。 如果整柜里有买单货，就会增加查验率，导致我们有报关的货也被耽误查验了</t>
  </si>
  <si>
    <t>物流商查单证问具体原因</t>
  </si>
  <si>
    <t>后续还是是会有的，不能避免这类情况查验</t>
  </si>
  <si>
    <t>DSL260217188</t>
  </si>
  <si>
    <t>FBA1988DVZD5</t>
  </si>
  <si>
    <t>DSL260234925</t>
  </si>
  <si>
    <t>FBA1988DS5Q2</t>
  </si>
  <si>
    <t>MKA2603020001</t>
  </si>
  <si>
    <t>FBA198C9HPLM</t>
  </si>
  <si>
    <t>SK002</t>
  </si>
  <si>
    <t>美国普货空运快线（快递派）</t>
  </si>
  <si>
    <t>美国海关1H查验</t>
  </si>
  <si>
    <t>已放行</t>
  </si>
  <si>
    <t>MKA2602260002</t>
  </si>
  <si>
    <t>FBA1986Q64PS</t>
  </si>
  <si>
    <t>MKA2602270003</t>
  </si>
  <si>
    <t>FBA1988P0H7D</t>
  </si>
  <si>
    <t>902+905+930+931</t>
  </si>
  <si>
    <t>3/13已放行</t>
  </si>
  <si>
    <t>MKA2602270004</t>
  </si>
  <si>
    <t>FBA1988PCD5J</t>
  </si>
  <si>
    <t>MKA2602270006</t>
  </si>
  <si>
    <t>FBA1988QL0TB</t>
  </si>
  <si>
    <t>MKA2602270005</t>
  </si>
  <si>
    <t>FBA1988QS0R6</t>
  </si>
  <si>
    <t>MKA2602270002</t>
  </si>
  <si>
    <t>FBA1988RR12V</t>
  </si>
  <si>
    <t>MKA2602250008</t>
  </si>
  <si>
    <t>FBA1985FHHSP</t>
  </si>
  <si>
    <t>RG802</t>
  </si>
  <si>
    <t>MKA2602250009</t>
  </si>
  <si>
    <t>FBA1985F0NDF</t>
  </si>
  <si>
    <t>MKA2602250010</t>
  </si>
  <si>
    <t>FBA1985CWFBW</t>
  </si>
  <si>
    <t>MKA2602250007</t>
  </si>
  <si>
    <t>FBA1985B8ZQ8</t>
  </si>
  <si>
    <t>MKA2602250006</t>
  </si>
  <si>
    <t>FBA19859BK4L</t>
  </si>
  <si>
    <t>MKA2602270014</t>
  </si>
  <si>
    <t>FBA1988S1QCW</t>
  </si>
  <si>
    <t>RBK068
RBK002
RBK068
RBK002
RBK070</t>
  </si>
  <si>
    <t>MKA2602270013</t>
  </si>
  <si>
    <t>FBA1988TM9QN</t>
  </si>
  <si>
    <t>MKA2602270015</t>
  </si>
  <si>
    <t>FBA1988TSQWK</t>
  </si>
  <si>
    <t>RIVBOS：DE</t>
  </si>
  <si>
    <t>ZSHL2602074021</t>
  </si>
  <si>
    <t>FBA15LH3GML9</t>
  </si>
  <si>
    <t>RB832
RBK004-2</t>
  </si>
  <si>
    <t>欧洲海派BE1专线-华南</t>
  </si>
  <si>
    <t>中国海关随机抽查</t>
  </si>
  <si>
    <t>DSL260388226</t>
  </si>
  <si>
    <t>FBA198M4KXRD</t>
  </si>
  <si>
    <t>美国海速派-美森-正班</t>
  </si>
  <si>
    <t>中国海关随机抽查【查验方式:机检】</t>
  </si>
  <si>
    <t>DSL260324860</t>
  </si>
  <si>
    <t>FBA198MB4GTP</t>
  </si>
  <si>
    <t>DSL260355932</t>
  </si>
  <si>
    <t>FBA198LR0KD3</t>
  </si>
  <si>
    <t>DSL260347010</t>
  </si>
  <si>
    <t>FBA198LRMTMY</t>
  </si>
  <si>
    <t>DSL260389668</t>
  </si>
  <si>
    <t>FBA198FFT66Z</t>
  </si>
  <si>
    <t>起运港随机查验</t>
  </si>
  <si>
    <t>DSL260310260</t>
  </si>
  <si>
    <t>FBA198FGR4B9</t>
  </si>
  <si>
    <t>DSL260335180</t>
  </si>
  <si>
    <t>FBA198FDYR5P</t>
  </si>
  <si>
    <t>SEEKWAY:CA</t>
  </si>
  <si>
    <t>ZSCA2603097666</t>
  </si>
  <si>
    <t>FBA198XP7JFX</t>
  </si>
  <si>
    <t>SK001</t>
  </si>
  <si>
    <t>CU1美森美转加-2E 加拿大海运快线-美森卡派</t>
  </si>
  <si>
    <t>出口报关查验</t>
  </si>
  <si>
    <t>DSL260347971</t>
  </si>
  <si>
    <t>FBA198R5WS1R</t>
  </si>
  <si>
    <t>902+905+930+931+803+805</t>
  </si>
  <si>
    <t>美国海速派-美森正班（包税）</t>
  </si>
  <si>
    <t>DSL260340631</t>
  </si>
  <si>
    <t>FBA198R3CKY0</t>
  </si>
  <si>
    <t>DSL260392961</t>
  </si>
  <si>
    <t>FBA198R63CYC</t>
  </si>
  <si>
    <t>DSL260364223</t>
  </si>
  <si>
    <t>FBA198R6TNQK</t>
  </si>
  <si>
    <t>DSL260354844</t>
  </si>
  <si>
    <t>FBA198R63YTK</t>
  </si>
  <si>
    <t>FBA199461N1N</t>
  </si>
  <si>
    <t>KP001＋KSP001＋SK002＋SP001</t>
  </si>
  <si>
    <t>UHK02香港UPS加拿大红单大货包税价</t>
  </si>
  <si>
    <t>报关车遇海关普通查车</t>
  </si>
  <si>
    <t>FBA19945MFL3</t>
  </si>
  <si>
    <t>FBA19946SHN3</t>
  </si>
  <si>
    <t>FBA19942XFW8</t>
  </si>
  <si>
    <t>FBA19944J5G9</t>
  </si>
  <si>
    <t>1ZA5F5470402912151</t>
  </si>
  <si>
    <t>FBA19945L6TS</t>
  </si>
  <si>
    <t>KP001＋KSP001＋SP001</t>
  </si>
  <si>
    <t>DSL260361207</t>
  </si>
  <si>
    <t>FBA19986G0Y5</t>
  </si>
  <si>
    <t>SK002+SK001+SP001</t>
  </si>
  <si>
    <t>DSL260388316</t>
  </si>
  <si>
    <t>FBA1998B6Q2S</t>
  </si>
  <si>
    <t>DSL260377596</t>
  </si>
  <si>
    <t>FBA19987XKQB</t>
  </si>
  <si>
    <t>4/7目的港查验
3/24 起运港随机查验</t>
  </si>
  <si>
    <r>
      <rPr>
        <b/>
        <sz val="11"/>
        <color rgb="FF000000"/>
        <rFont val="宋体"/>
        <charset val="134"/>
      </rPr>
      <t xml:space="preserve">6/3更新: 5/22后台显示有入库缺陷费
安排退运。5/15已离港，预计6/9抵达香港。
</t>
    </r>
    <r>
      <rPr>
        <sz val="11"/>
        <color rgb="FF000000"/>
        <rFont val="宋体"/>
        <charset val="134"/>
      </rPr>
      <t>此柜于4月6日到港，同日收到海关查验通知。但海关发布查验指令后，一直未允许将货物提到查验场。这种情况大概率会转至新部门查验，主要核查进口商真实性。一旦转入该流程，审批退运可能需要耗费很长时间，目前海关对于退运柜子审批非常缓慢。为避免时效延误影响客户货物，我们提前申请将货物转入海关监管仓并办理退运，目前已成功申请并完成换装。</t>
    </r>
  </si>
  <si>
    <t>DSA260392705</t>
  </si>
  <si>
    <t>FBA1995RYZ41</t>
  </si>
  <si>
    <t>德速_美国空派普货促销(包税) /体积除6000-快递派</t>
  </si>
  <si>
    <t>(CBP HOLD-1H)
目的港开箱查验</t>
  </si>
  <si>
    <t>DSA260334139</t>
  </si>
  <si>
    <t>FBA1995S58JG</t>
  </si>
  <si>
    <t>DSA260380152</t>
  </si>
  <si>
    <t>FBA1995SQQST</t>
  </si>
  <si>
    <t>DSA260375171</t>
  </si>
  <si>
    <t>FBA1995TXZVX</t>
  </si>
  <si>
    <t>DSA260336761</t>
  </si>
  <si>
    <t>FBA1995VCHP4</t>
  </si>
  <si>
    <t>ZSAM2603108793</t>
  </si>
  <si>
    <t>FBA1995R7VCZ</t>
  </si>
  <si>
    <t>WP001</t>
  </si>
  <si>
    <t>美国空派普货标准线（快递派）</t>
  </si>
  <si>
    <t>目的港海关随机抽查，1H查验（中途：因查验站爆仓，等待提进查验站的等待时间较久）</t>
  </si>
  <si>
    <t>ZSAM2603108792</t>
  </si>
  <si>
    <t>FBA1995PVDHF</t>
  </si>
  <si>
    <t>ZSAM2603108796</t>
  </si>
  <si>
    <t>FBA1995PNMJP</t>
  </si>
  <si>
    <t>ZSAM2603108910</t>
  </si>
  <si>
    <t>FBA1995L0B3J</t>
  </si>
  <si>
    <t>ZSAM2603108794</t>
  </si>
  <si>
    <t>FBA1995KPWYR</t>
  </si>
  <si>
    <t>DSL260413863</t>
  </si>
  <si>
    <t>FBA199T9Y1JD</t>
  </si>
  <si>
    <t>SP001</t>
  </si>
  <si>
    <t>已放行。
延误一水，改配船期4/15开船，4/26到港。</t>
  </si>
  <si>
    <t>DSL260453126</t>
  </si>
  <si>
    <t>FBA199TB9BB8</t>
  </si>
  <si>
    <t>DSL260411743</t>
  </si>
  <si>
    <t>FBA199TBN6PZ</t>
  </si>
  <si>
    <t>DSL260367789</t>
  </si>
  <si>
    <t>FBA199601KJQ</t>
  </si>
  <si>
    <t>美东海卡极速达 包税（kg）</t>
  </si>
  <si>
    <t>目的港查验，2H-农业部门查验</t>
  </si>
  <si>
    <r>
      <rPr>
        <b/>
        <sz val="11"/>
        <color rgb="FF000000"/>
        <rFont val="宋体"/>
        <charset val="134"/>
      </rPr>
      <t>6/3更新：5/11后台显示有入库缺陷费</t>
    </r>
    <r>
      <rPr>
        <sz val="11"/>
        <color rgb="FF000000"/>
        <rFont val="宋体"/>
        <charset val="134"/>
      </rPr>
      <t xml:space="preserve">
5/6更新：已放行，等待回装然后提柜到仓
查材质，由于之前5H查验导致堆场爆仓，预计可能1-2周才能完成查验放行。</t>
    </r>
  </si>
  <si>
    <t>DSL260376094</t>
  </si>
  <si>
    <t>FBA19960CW53</t>
  </si>
  <si>
    <t>1ZHF05762000827490</t>
  </si>
  <si>
    <t>FBA199RXLQZP</t>
  </si>
  <si>
    <t>SK001＋SK002＋SP001</t>
  </si>
  <si>
    <t>加拿大专线-大陆 (CN-极速特快)</t>
  </si>
  <si>
    <t>国外海关抽中查验</t>
  </si>
  <si>
    <t>DSL260360080</t>
  </si>
  <si>
    <t>FBA198W7W6L8</t>
  </si>
  <si>
    <t>美西极速达</t>
  </si>
  <si>
    <t>所在的柜子在目的港被抽中查验，类型：1H-开箱查验</t>
  </si>
  <si>
    <t>4/20更新：排队等待开箱
4/27更新：海关要求更新资料，德速已递交更新
4/28更新：目的港查验已放行，目前等待回装然后提柜到仓，暂未有预计提柜到仓时间</t>
  </si>
  <si>
    <t>DSL260396151</t>
  </si>
  <si>
    <t>FBA198W87V96</t>
  </si>
  <si>
    <t>SF0227981472622</t>
  </si>
  <si>
    <t>FBA199WC9JQ7</t>
  </si>
  <si>
    <t>顺丰</t>
  </si>
  <si>
    <t>FBA美国标快(大陆-统配）</t>
  </si>
  <si>
    <t>国外通知例行查验</t>
  </si>
  <si>
    <t>5/8更新：当地时间5/7已放行</t>
  </si>
  <si>
    <t>SF5193629992116</t>
  </si>
  <si>
    <t>FBA199W8VMNQ</t>
  </si>
  <si>
    <t>SF5193064509270</t>
  </si>
  <si>
    <t>FBA199RQ8FRR</t>
  </si>
  <si>
    <t>SF0226731308661</t>
  </si>
  <si>
    <t>FBA199RQZ3KK</t>
  </si>
  <si>
    <t>SF0226241318573</t>
  </si>
  <si>
    <t>FBA199RR20TM</t>
  </si>
  <si>
    <t>SF5132593930624</t>
  </si>
  <si>
    <t>FBA199RS74H9</t>
  </si>
  <si>
    <t>RIVMOUNT:CA</t>
  </si>
  <si>
    <t>ZSCA2604016850</t>
  </si>
  <si>
    <t>FBA19BBWV8P9</t>
  </si>
  <si>
    <t>WP001+SWS001+SWS002</t>
  </si>
  <si>
    <t>CU2快提美转加-2E</t>
  </si>
  <si>
    <t>出口海关抽查查验</t>
  </si>
  <si>
    <t>已放行，改到下一水ETD 4/22，ETA 5/3</t>
  </si>
  <si>
    <t>DSA260446333</t>
  </si>
  <si>
    <t>FBA19BC7Z4V3</t>
  </si>
  <si>
    <t>SR001</t>
  </si>
  <si>
    <t>美国空派普货促销(包税) /体积除6000-快递派</t>
  </si>
  <si>
    <t>目的港查验</t>
  </si>
  <si>
    <t>DSA260439638</t>
  </si>
  <si>
    <t>FBA19BC9STDN</t>
  </si>
  <si>
    <t>DSA260463214</t>
  </si>
  <si>
    <t>FBA19BCG2MHB</t>
  </si>
  <si>
    <t>DSA260445787</t>
  </si>
  <si>
    <t>FBA19BCHGQ3V</t>
  </si>
  <si>
    <t>DSA260481246</t>
  </si>
  <si>
    <t>FBA19BCKXT19</t>
  </si>
  <si>
    <t>DSL260491195</t>
  </si>
  <si>
    <t>FBA19BGC17GG</t>
  </si>
  <si>
    <t>美森准时达-加班</t>
  </si>
  <si>
    <t>起运港随机查验，机查</t>
  </si>
  <si>
    <t>4/22更新：预计今天开箱查
4/24更新：预计会延至下一趟船期
4/27更新：客服反馈还在争取看能否赶上本周船期
4/29更新：海关要求删单重报，重新申报已放行，新船期</t>
  </si>
  <si>
    <t>DSL260488347</t>
  </si>
  <si>
    <t>FBA19BGF18VM</t>
  </si>
  <si>
    <t>DSL260461352</t>
  </si>
  <si>
    <t>FBA19B96G61H</t>
  </si>
  <si>
    <t>DSL260469346</t>
  </si>
  <si>
    <t>FBA19B9730K5</t>
  </si>
  <si>
    <t>DSL260468966</t>
  </si>
  <si>
    <t>FBA19B9872H0</t>
  </si>
  <si>
    <t>DSL260475332</t>
  </si>
  <si>
    <t>FBA19B99FLBD</t>
  </si>
  <si>
    <t>DSL260436845</t>
  </si>
  <si>
    <t>FBA19B9J3QSK</t>
  </si>
  <si>
    <t>ZSAM2604028743</t>
  </si>
  <si>
    <t>FBA19BP80YQ1</t>
  </si>
  <si>
    <t>美国空派普货经济线（卡派）</t>
  </si>
  <si>
    <t>目的港查验，1H查验</t>
  </si>
  <si>
    <t>ZSAM2604028742</t>
  </si>
  <si>
    <t>FBA19BP552D6</t>
  </si>
  <si>
    <t>DSA260466491</t>
  </si>
  <si>
    <t>FBA19CDBWFWP</t>
  </si>
  <si>
    <t>目的港查验，1H 常规人工开箱</t>
  </si>
  <si>
    <t>5/13更新：此票美国时间05.12号已放行；目前等待查验站走内部流程等查验站放货，预计最快美国时间5.13号查验站提回.</t>
  </si>
  <si>
    <t>DSA260423590</t>
  </si>
  <si>
    <t>FBA19CDD56KL</t>
  </si>
  <si>
    <t>DSA260429777</t>
  </si>
  <si>
    <t>FBA19CDD56L7</t>
  </si>
  <si>
    <t>DSA260488666</t>
  </si>
  <si>
    <t>FBA19CDJCCJG</t>
  </si>
  <si>
    <t>DSA260490301</t>
  </si>
  <si>
    <t>FBA19CDJN0MF</t>
  </si>
  <si>
    <t>ZSCA2604045054</t>
  </si>
  <si>
    <t>FBA19C5J2X9Z</t>
  </si>
  <si>
    <t>海关抽查，机查+人工查</t>
  </si>
  <si>
    <t>目前查验柜子还没放行，赶不上船司截关时间，装不上这水船，预计会延至下一趟船期
4/30更新：已放行，赶不上原水船，新船期ETD 5/6</t>
  </si>
  <si>
    <t>DSA260431149</t>
  </si>
  <si>
    <t>FBA19C2DQFPZ</t>
  </si>
  <si>
    <t>DSA260414171</t>
  </si>
  <si>
    <t>FBA19C2F690N</t>
  </si>
  <si>
    <t>DSA260427909</t>
  </si>
  <si>
    <t>FBA19C2G0JNL</t>
  </si>
  <si>
    <t>DSA260425993</t>
  </si>
  <si>
    <t>FBA19C2H2JRQ</t>
  </si>
  <si>
    <t>DSA260451567</t>
  </si>
  <si>
    <t>FBA19C2JMTL0</t>
  </si>
  <si>
    <t>DSA260412491</t>
  </si>
  <si>
    <t>FBA19C2B0WSW</t>
  </si>
  <si>
    <t>DSA260452412</t>
  </si>
  <si>
    <t>FBA19C4KBL3X</t>
  </si>
  <si>
    <t>DSL260469079</t>
  </si>
  <si>
    <t>FBA19CJ2VRN3</t>
  </si>
  <si>
    <t>KP001＋KSP001+KP006+SK001+SK002＋SP001+SR001</t>
  </si>
  <si>
    <t>已放行。延误一水，ETD 5-12  ETA 5-25</t>
  </si>
  <si>
    <t>DSL260430728</t>
  </si>
  <si>
    <t>FBA19CJ61HVJ</t>
  </si>
  <si>
    <t>DSL260469035</t>
  </si>
  <si>
    <t>FBA19CJ74WVZ</t>
  </si>
  <si>
    <t>已放行。延误一水，ETD 5-13  ETA 5-24</t>
  </si>
  <si>
    <t>DSL260487587</t>
  </si>
  <si>
    <t>FBA19CJ86VFC</t>
  </si>
  <si>
    <t>ZSCA2604053628</t>
  </si>
  <si>
    <t>FBA19CJ1Y52W</t>
  </si>
  <si>
    <t>SK001+SP001</t>
  </si>
  <si>
    <t>CU2快提美转加-2W</t>
  </si>
  <si>
    <t>DSA260410952</t>
  </si>
  <si>
    <t>FBA19CGNJMJ5</t>
  </si>
  <si>
    <t>KP001＋KP006+SP001+SR001</t>
  </si>
  <si>
    <t>5/13更新：美国时间5/12已放行</t>
  </si>
  <si>
    <t>DSA260417239</t>
  </si>
  <si>
    <t>FBA19CHRRS05</t>
  </si>
  <si>
    <t>DSA260429274</t>
  </si>
  <si>
    <t>FBA19CJ2W9VN</t>
  </si>
  <si>
    <t>DSL260453663</t>
  </si>
  <si>
    <t>FBA19C6J0DZ6</t>
  </si>
  <si>
    <t>目的港查验，2H-农业部开箱查</t>
  </si>
  <si>
    <t>5/20更新：已放行。等待回装然后提柜到仓</t>
  </si>
  <si>
    <t>DSL260474383</t>
  </si>
  <si>
    <t>FBA19C6LB1RQ</t>
  </si>
  <si>
    <t>DSL260487791</t>
  </si>
  <si>
    <t>FBA19C6LY241</t>
  </si>
  <si>
    <t>DSL260422790</t>
  </si>
  <si>
    <t>FBA19C4JMBRL</t>
  </si>
  <si>
    <t>美国海速派-美森加班（包税）</t>
  </si>
  <si>
    <t>1H跳转5H</t>
  </si>
  <si>
    <r>
      <rPr>
        <sz val="11"/>
        <color rgb="FF000000"/>
        <rFont val="宋体"/>
        <charset val="134"/>
      </rPr>
      <t>所在的柜子原本的查验类型为1H查验，现在系统跳转为5H查验，</t>
    </r>
    <r>
      <rPr>
        <sz val="11"/>
        <color rgb="FFFF0000"/>
        <rFont val="宋体"/>
        <charset val="134"/>
      </rPr>
      <t xml:space="preserve">需要申请退运
</t>
    </r>
    <r>
      <rPr>
        <b/>
        <sz val="11"/>
        <color rgb="FF000000"/>
        <rFont val="宋体"/>
        <charset val="134"/>
      </rPr>
      <t>6/5更新：海关已同意退运 在订舱</t>
    </r>
  </si>
  <si>
    <t>ZSCA2605066431</t>
  </si>
  <si>
    <t>FBA19D04HNXD</t>
  </si>
  <si>
    <t>出口海关查验</t>
  </si>
  <si>
    <t>ZSAM2605063935</t>
  </si>
  <si>
    <t>FBA19CVQHSM4</t>
  </si>
  <si>
    <t>KP006+SP001</t>
  </si>
  <si>
    <t>目的港查验，1H</t>
  </si>
  <si>
    <t>ZSAM2605063934</t>
  </si>
  <si>
    <t>FBA19CVRYZ48</t>
  </si>
  <si>
    <t>SF0229385334360</t>
  </si>
  <si>
    <t>FBA19D8595ND</t>
  </si>
  <si>
    <t>加拿大海运特快限时达卡派</t>
  </si>
  <si>
    <t>已放行，原船期</t>
  </si>
  <si>
    <t>SF0223015340444</t>
  </si>
  <si>
    <t>FBA19D6G1J6J</t>
  </si>
  <si>
    <t>KP006+SK001+SK002＋SP001</t>
  </si>
  <si>
    <t>美森正班-海卡</t>
  </si>
  <si>
    <t>国内海关卡审结</t>
  </si>
  <si>
    <t>已放行，延误一水，新船期5/27开船</t>
  </si>
  <si>
    <t>SF5136858799603</t>
  </si>
  <si>
    <t>FBA19D6JZWDL</t>
  </si>
  <si>
    <t>SF0221705368857</t>
  </si>
  <si>
    <t>FBA19D6H8WRN</t>
  </si>
  <si>
    <t>美森快船-快递派送（CLX 限时赔付）</t>
  </si>
  <si>
    <t>SF5136856982330</t>
  </si>
  <si>
    <t>FBA19D6H97J6</t>
  </si>
  <si>
    <t>DSL260533977</t>
  </si>
  <si>
    <t>FBA19DBCWTJZ</t>
  </si>
  <si>
    <t>KP001</t>
  </si>
  <si>
    <t>起运港查验</t>
  </si>
  <si>
    <t>DSL260534839</t>
  </si>
  <si>
    <t>FBA19DBG7N1K</t>
  </si>
  <si>
    <t>SS10261767</t>
  </si>
  <si>
    <t>FBA19DKL9WVD</t>
  </si>
  <si>
    <t>速十</t>
  </si>
  <si>
    <t>美国空派普线</t>
  </si>
  <si>
    <t>SS10261771</t>
  </si>
  <si>
    <t>FBA19DKKW5Y4</t>
  </si>
  <si>
    <t>SS10261770</t>
  </si>
  <si>
    <t>FBA19DKLGMRL</t>
  </si>
  <si>
    <t>SS10261769</t>
  </si>
  <si>
    <t>FBA19DKKZL7N</t>
  </si>
  <si>
    <t>SS10261768</t>
  </si>
  <si>
    <t>FBA19DKP9MWV</t>
  </si>
  <si>
    <t>1Z4V79X56680001334</t>
  </si>
  <si>
    <t>FBA19DZC5DNP</t>
  </si>
  <si>
    <t>大陆UPS特快包税</t>
  </si>
  <si>
    <t>1Z4V79X56660551779</t>
  </si>
  <si>
    <t>FBA19DZCQ7RV</t>
  </si>
  <si>
    <t>1Z4V79X56660191855</t>
  </si>
  <si>
    <t>FBA19DZD95QP</t>
  </si>
  <si>
    <t>SS10262916</t>
  </si>
  <si>
    <t>FBA19F4D6KBM</t>
  </si>
  <si>
    <t>加拿大海派快线</t>
  </si>
  <si>
    <t>国内查验，人工+机检</t>
  </si>
  <si>
    <t>查验已放行，船期不变，当地06-03已开船</t>
  </si>
  <si>
    <t>查验1天放行</t>
  </si>
  <si>
    <t>SS10263077</t>
  </si>
  <si>
    <t>FBA19F6M3DL0</t>
  </si>
  <si>
    <t>DSL260588462</t>
  </si>
  <si>
    <t>FBA19F28KXLT</t>
  </si>
  <si>
    <t>美森准时达-MAX快航</t>
  </si>
  <si>
    <t>等待查验，船期待定</t>
  </si>
  <si>
    <t>DSL260587074</t>
  </si>
  <si>
    <t>FBA19F2CPJ08</t>
  </si>
  <si>
    <t>美国海速派-美森MAX快航</t>
  </si>
  <si>
    <t>DSL260560442</t>
  </si>
  <si>
    <t>FBA19F28P0RG</t>
  </si>
  <si>
    <t>DSL260598838</t>
  </si>
  <si>
    <t>FBA19F6TVLHX</t>
  </si>
  <si>
    <r>
      <rPr>
        <sz val="11"/>
        <color rgb="FF000000"/>
        <rFont val="宋体"/>
        <charset val="134"/>
      </rPr>
      <t xml:space="preserve">等待查验，船期待定
</t>
    </r>
    <r>
      <rPr>
        <b/>
        <sz val="11"/>
        <color rgb="FF000000"/>
        <rFont val="宋体"/>
        <charset val="134"/>
      </rPr>
      <t>6/8更新：目前还未开箱 争取今天上平台开箱</t>
    </r>
  </si>
  <si>
    <t>DSL260517651</t>
  </si>
  <si>
    <t>FBA19F6TDZQF</t>
  </si>
  <si>
    <t>DSL260526616</t>
  </si>
  <si>
    <t>FBA19F6XQ1S7</t>
  </si>
  <si>
    <t>DSL260560556</t>
  </si>
  <si>
    <t>FBA19F6TBJ3L</t>
  </si>
  <si>
    <t>DSL260532593</t>
  </si>
  <si>
    <t>FBA19F6YSY37</t>
  </si>
  <si>
    <t>【金山文档 | WPS云文档】 202603 物流对账讨论（物流部&amp;财务部）</t>
  </si>
  <si>
    <t>https://365.kdocs.cn/l/cgx3x9P0bmZO</t>
  </si>
  <si>
    <t>【看 协商结果】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</si>
</sst>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yyyy/m/d;@"/>
    <numFmt numFmtId="179" formatCode="yyyy/mm/dd;@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40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2" fillId="0" borderId="0" xfId="6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3" borderId="0" xfId="0" applyNumberFormat="1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58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178" fontId="1" fillId="0" borderId="0" xfId="0" applyNumberFormat="1" applyFont="1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79" fontId="0" fillId="0" borderId="0" xfId="0" applyNumberForma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8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C000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8" dbFileVersion="0" changeLogVersion="0">
    <open main="44" threadCnt="1"/>
    <sheetInfos>
      <sheetInfo cellCmpFml="25" sheetStid="1">
        <open main="13" threadCnt="1"/>
      </sheetInfo>
      <sheetInfo cellCmpFml="0" sheetStid="5">
        <open threadCnt="1"/>
      </sheetInfo>
      <sheetInfo cellCmpFml="3" sheetStid="4">
        <open threadCnt="1"/>
      </sheetInfo>
      <sheetInfo cellCmpFml="0" sheetStid="2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pn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woinfos" Target="woinfos.xml"/><Relationship Id="rId12" Type="http://schemas.openxmlformats.org/officeDocument/2006/relationships/styles" Target="styles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114300</xdr:colOff>
      <xdr:row>14</xdr:row>
      <xdr:rowOff>50800</xdr:rowOff>
    </xdr:to>
    <xdr:pic>
      <xdr:nvPicPr>
        <xdr:cNvPr id="2" name="ID_9326E261A4594CC187A7735D9BEF4AAE" descr="post_object_image_4161240763"/>
        <xdr:cNvPicPr/>
      </xdr:nvPicPr>
      <xdr:blipFill>
        <a:blip r:embed="rId1"/>
        <a:stretch>
          <a:fillRect/>
        </a:stretch>
      </xdr:blipFill>
      <xdr:spPr>
        <a:xfrm>
          <a:off x="0" y="0"/>
          <a:ext cx="2857500" cy="2451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25400</xdr:colOff>
      <xdr:row>23</xdr:row>
      <xdr:rowOff>19050</xdr:rowOff>
    </xdr:to>
    <xdr:pic>
      <xdr:nvPicPr>
        <xdr:cNvPr id="4" name="ID_2379718950024BA6B5BCA86EB1A3CEA4" descr="post_object_image_3141806773"/>
        <xdr:cNvPicPr/>
      </xdr:nvPicPr>
      <xdr:blipFill>
        <a:blip r:embed="rId2"/>
        <a:stretch>
          <a:fillRect/>
        </a:stretch>
      </xdr:blipFill>
      <xdr:spPr>
        <a:xfrm>
          <a:off x="0" y="0"/>
          <a:ext cx="2768600" cy="3962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38100</xdr:colOff>
      <xdr:row>18</xdr:row>
      <xdr:rowOff>38100</xdr:rowOff>
    </xdr:to>
    <xdr:pic>
      <xdr:nvPicPr>
        <xdr:cNvPr id="5" name="ID_41176A73349546F7AEC1D05FB64C5190" descr="post_object_image_2406527256"/>
        <xdr:cNvPicPr/>
      </xdr:nvPicPr>
      <xdr:blipFill>
        <a:blip r:embed="rId3"/>
        <a:stretch>
          <a:fillRect/>
        </a:stretch>
      </xdr:blipFill>
      <xdr:spPr>
        <a:xfrm>
          <a:off x="0" y="0"/>
          <a:ext cx="2781300" cy="3124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19</xdr:row>
      <xdr:rowOff>111125</xdr:rowOff>
    </xdr:to>
    <xdr:pic>
      <xdr:nvPicPr>
        <xdr:cNvPr id="6" name="ID_715AC9F59FDF4BEDAECE27054FC44A37" descr="post_object_image_3803120183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3368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11</xdr:row>
      <xdr:rowOff>43815</xdr:rowOff>
    </xdr:to>
    <xdr:pic>
      <xdr:nvPicPr>
        <xdr:cNvPr id="7" name="ID_AB88ED8313CE409FB5D9281787BEB3CF" descr="post_object_image_2188618493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1929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8</xdr:row>
      <xdr:rowOff>115570</xdr:rowOff>
    </xdr:to>
    <xdr:pic>
      <xdr:nvPicPr>
        <xdr:cNvPr id="8" name="ID_DD4E6AEA64E3436793F4A84A3CC8623D" descr="post_object_image_3107687512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14871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266700</xdr:colOff>
      <xdr:row>13</xdr:row>
      <xdr:rowOff>6350</xdr:rowOff>
    </xdr:to>
    <xdr:pic>
      <xdr:nvPicPr>
        <xdr:cNvPr id="3" name="ID_934C0F4E693C44B782439CF3FF9BD46B" descr="post_object_image_3169108363"/>
        <xdr:cNvPicPr/>
      </xdr:nvPicPr>
      <xdr:blipFill>
        <a:blip r:embed="rId7"/>
        <a:stretch>
          <a:fillRect/>
        </a:stretch>
      </xdr:blipFill>
      <xdr:spPr>
        <a:xfrm>
          <a:off x="0" y="0"/>
          <a:ext cx="1638300" cy="223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38100</xdr:colOff>
      <xdr:row>19</xdr:row>
      <xdr:rowOff>76200</xdr:rowOff>
    </xdr:to>
    <xdr:pic>
      <xdr:nvPicPr>
        <xdr:cNvPr id="9" name="ID_426B9DEB66D24560934526A6BC8F3E29" descr="post_object_image_509750024"/>
        <xdr:cNvPicPr/>
      </xdr:nvPicPr>
      <xdr:blipFill>
        <a:blip r:embed="rId8"/>
        <a:stretch>
          <a:fillRect/>
        </a:stretch>
      </xdr:blipFill>
      <xdr:spPr>
        <a:xfrm>
          <a:off x="0" y="0"/>
          <a:ext cx="3467100" cy="3333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38100</xdr:colOff>
      <xdr:row>19</xdr:row>
      <xdr:rowOff>76200</xdr:rowOff>
    </xdr:to>
    <xdr:pic>
      <xdr:nvPicPr>
        <xdr:cNvPr id="10" name="ID_737352BCD0CE4FC2AEBF9D8E90F307B7" descr="post_object_image_2933128297"/>
        <xdr:cNvPicPr/>
      </xdr:nvPicPr>
      <xdr:blipFill>
        <a:blip r:embed="rId8"/>
        <a:stretch>
          <a:fillRect/>
        </a:stretch>
      </xdr:blipFill>
      <xdr:spPr>
        <a:xfrm>
          <a:off x="0" y="0"/>
          <a:ext cx="3467100" cy="3333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38100</xdr:colOff>
      <xdr:row>19</xdr:row>
      <xdr:rowOff>76200</xdr:rowOff>
    </xdr:to>
    <xdr:pic>
      <xdr:nvPicPr>
        <xdr:cNvPr id="11" name="ID_855FD27BA79045D0B427E886C5CF4E4C" descr="post_object_image_758451821"/>
        <xdr:cNvPicPr/>
      </xdr:nvPicPr>
      <xdr:blipFill>
        <a:blip r:embed="rId8"/>
        <a:stretch>
          <a:fillRect/>
        </a:stretch>
      </xdr:blipFill>
      <xdr:spPr>
        <a:xfrm>
          <a:off x="0" y="0"/>
          <a:ext cx="3467100" cy="3333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457200</xdr:colOff>
      <xdr:row>22</xdr:row>
      <xdr:rowOff>25400</xdr:rowOff>
    </xdr:to>
    <xdr:pic>
      <xdr:nvPicPr>
        <xdr:cNvPr id="13" name="ID_158D6902F0E042DE8EE4ACC919F1C263" descr="post_object_image_1760487547"/>
        <xdr:cNvPicPr/>
      </xdr:nvPicPr>
      <xdr:blipFill>
        <a:blip r:embed="rId9"/>
        <a:stretch>
          <a:fillRect/>
        </a:stretch>
      </xdr:blipFill>
      <xdr:spPr>
        <a:xfrm>
          <a:off x="0" y="0"/>
          <a:ext cx="1828800" cy="3797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495300</xdr:colOff>
      <xdr:row>26</xdr:row>
      <xdr:rowOff>139700</xdr:rowOff>
    </xdr:to>
    <xdr:pic>
      <xdr:nvPicPr>
        <xdr:cNvPr id="12" name="ID_1F9206A4BF9A45FFBDBE186585BF1015" descr="post_object_image_140683306"/>
        <xdr:cNvPicPr/>
      </xdr:nvPicPr>
      <xdr:blipFill>
        <a:blip r:embed="rId10"/>
        <a:stretch>
          <a:fillRect/>
        </a:stretch>
      </xdr:blipFill>
      <xdr:spPr>
        <a:xfrm>
          <a:off x="0" y="0"/>
          <a:ext cx="1866900" cy="459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12700</xdr:colOff>
      <xdr:row>9</xdr:row>
      <xdr:rowOff>31750</xdr:rowOff>
    </xdr:to>
    <xdr:pic>
      <xdr:nvPicPr>
        <xdr:cNvPr id="14" name="ID_899B0DD7D6814291B8FFFA033A6B8F52" descr="post_object_image_2012314091"/>
        <xdr:cNvPicPr/>
      </xdr:nvPicPr>
      <xdr:blipFill>
        <a:blip r:embed="rId11"/>
        <a:stretch>
          <a:fillRect/>
        </a:stretch>
      </xdr:blipFill>
      <xdr:spPr>
        <a:xfrm>
          <a:off x="0" y="0"/>
          <a:ext cx="4813300" cy="157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431800</xdr:colOff>
      <xdr:row>14</xdr:row>
      <xdr:rowOff>38100</xdr:rowOff>
    </xdr:to>
    <xdr:pic>
      <xdr:nvPicPr>
        <xdr:cNvPr id="15" name="ID_3054F46BB86C42929225CC1D06423939" descr="post_object_image_2155058339"/>
        <xdr:cNvPicPr/>
      </xdr:nvPicPr>
      <xdr:blipFill>
        <a:blip r:embed="rId12"/>
        <a:stretch>
          <a:fillRect/>
        </a:stretch>
      </xdr:blipFill>
      <xdr:spPr>
        <a:xfrm>
          <a:off x="0" y="0"/>
          <a:ext cx="18034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482600</xdr:colOff>
      <xdr:row>6</xdr:row>
      <xdr:rowOff>38100</xdr:rowOff>
    </xdr:to>
    <xdr:pic>
      <xdr:nvPicPr>
        <xdr:cNvPr id="16" name="ID_27FC3A75D7C74ACF92F877FABF3AB021" descr="post_object_image_580252985"/>
        <xdr:cNvPicPr/>
      </xdr:nvPicPr>
      <xdr:blipFill>
        <a:blip r:embed="rId13"/>
        <a:stretch>
          <a:fillRect/>
        </a:stretch>
      </xdr:blipFill>
      <xdr:spPr>
        <a:xfrm>
          <a:off x="0" y="0"/>
          <a:ext cx="185420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365.kdocs.cn/l/cgx3x9P0bmZ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8"/>
  <sheetViews>
    <sheetView tabSelected="1" workbookViewId="0">
      <pane ySplit="1" topLeftCell="A2" activePane="bottomLeft" state="frozen"/>
      <selection/>
      <selection pane="bottomLeft" activeCell="M159" sqref="M159"/>
    </sheetView>
  </sheetViews>
  <sheetFormatPr defaultColWidth="8.8" defaultRowHeight="18" customHeight="1"/>
  <cols>
    <col min="1" max="1" width="7.375" style="7" customWidth="1"/>
    <col min="2" max="2" width="13.75" style="7" customWidth="1"/>
    <col min="3" max="3" width="20.375" style="7" customWidth="1"/>
    <col min="4" max="4" width="17.125" style="7" customWidth="1"/>
    <col min="5" max="5" width="9.375" style="7" customWidth="1"/>
    <col min="6" max="6" width="24.1833333333333" style="8" customWidth="1"/>
    <col min="7" max="7" width="11.5" style="9" customWidth="1"/>
    <col min="8" max="8" width="7.375" style="7" customWidth="1"/>
    <col min="9" max="9" width="22.125" style="8" customWidth="1"/>
    <col min="10" max="10" width="34.875" style="8" customWidth="1"/>
    <col min="11" max="11" width="16.275" style="8" customWidth="1"/>
    <col min="12" max="12" width="13.75" style="7" customWidth="1"/>
    <col min="13" max="14" width="12.9916666666667" style="7" customWidth="1"/>
    <col min="15" max="15" width="13.75" style="7" customWidth="1"/>
    <col min="16" max="16" width="12.9916666666667" style="7" customWidth="1"/>
    <col min="17" max="17" width="13.6" style="10" customWidth="1"/>
    <col min="18" max="18" width="67" style="11" customWidth="1"/>
    <col min="19" max="20" width="42.125" style="12" customWidth="1"/>
    <col min="21" max="21" width="21.25" style="7" customWidth="1"/>
    <col min="22" max="22" width="18.25" style="7" customWidth="1"/>
    <col min="23" max="23" width="24.875" style="7" customWidth="1"/>
    <col min="24" max="16383" width="8.8" style="7"/>
  </cols>
  <sheetData>
    <row r="1" s="5" customFormat="1" ht="44.1" customHeight="1" spans="1:2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3" t="s">
        <v>7</v>
      </c>
      <c r="I1" s="14" t="s">
        <v>8</v>
      </c>
      <c r="J1" s="16" t="s">
        <v>9</v>
      </c>
      <c r="K1" s="17" t="s">
        <v>10</v>
      </c>
      <c r="L1" s="18" t="s">
        <v>11</v>
      </c>
      <c r="M1" s="18" t="s">
        <v>12</v>
      </c>
      <c r="N1" s="19" t="s">
        <v>13</v>
      </c>
      <c r="O1" s="20" t="s">
        <v>14</v>
      </c>
      <c r="P1" s="20" t="s">
        <v>15</v>
      </c>
      <c r="Q1" s="19" t="s">
        <v>16</v>
      </c>
      <c r="R1" s="21" t="s">
        <v>17</v>
      </c>
      <c r="S1" s="14" t="s">
        <v>18</v>
      </c>
      <c r="T1" s="14" t="s">
        <v>19</v>
      </c>
      <c r="U1" s="13" t="s">
        <v>20</v>
      </c>
      <c r="V1" s="22" t="s">
        <v>21</v>
      </c>
      <c r="W1" s="22" t="s">
        <v>22</v>
      </c>
    </row>
    <row r="2" ht="176.55" customHeight="1" spans="1:23">
      <c r="A2" s="23" t="s">
        <v>23</v>
      </c>
      <c r="B2" s="23" t="s">
        <v>24</v>
      </c>
      <c r="C2" s="23" t="s">
        <v>25</v>
      </c>
      <c r="D2" s="24" t="s">
        <v>26</v>
      </c>
      <c r="E2" s="24">
        <v>380</v>
      </c>
      <c r="F2" s="24" t="s">
        <v>27</v>
      </c>
      <c r="G2" s="9">
        <v>46017</v>
      </c>
      <c r="H2" s="23" t="s">
        <v>28</v>
      </c>
      <c r="I2" s="24" t="s">
        <v>29</v>
      </c>
      <c r="J2" s="24" t="s">
        <v>30</v>
      </c>
      <c r="K2" s="24" t="s">
        <v>31</v>
      </c>
      <c r="L2" s="25"/>
      <c r="M2" s="26"/>
      <c r="N2" s="27" t="str">
        <f ca="1">IF(AND(M2="",L2=""),"国内无查验",IF(M2="",TODAY()-L2,M2-L2))</f>
        <v>国内无查验</v>
      </c>
      <c r="O2" s="25">
        <v>46027</v>
      </c>
      <c r="P2" s="28">
        <v>46107</v>
      </c>
      <c r="Q2" s="27">
        <f ca="1">IF(AND(P2="",O2=""),"国外无查验",IF(P2="",TODAY()-O2,P2-O2))</f>
        <v>80</v>
      </c>
      <c r="R2" s="29" t="s">
        <v>32</v>
      </c>
      <c r="S2" s="29" t="s">
        <v>33</v>
      </c>
      <c r="T2" s="29" t="s">
        <v>34</v>
      </c>
      <c r="U2" s="24" t="s">
        <v>35</v>
      </c>
    </row>
    <row r="3" ht="35" customHeight="1" spans="1:23">
      <c r="A3" s="23" t="s">
        <v>23</v>
      </c>
      <c r="B3" s="23" t="s">
        <v>24</v>
      </c>
      <c r="C3" s="23" t="s">
        <v>36</v>
      </c>
      <c r="D3" s="7" t="s">
        <v>37</v>
      </c>
      <c r="E3" s="7">
        <v>401</v>
      </c>
      <c r="F3" s="24" t="s">
        <v>38</v>
      </c>
      <c r="G3" s="9">
        <v>46031</v>
      </c>
      <c r="H3" s="23" t="s">
        <v>39</v>
      </c>
      <c r="I3" s="24" t="s">
        <v>40</v>
      </c>
      <c r="J3" s="24" t="s">
        <v>41</v>
      </c>
      <c r="K3" s="24" t="s">
        <v>42</v>
      </c>
      <c r="L3" s="9"/>
      <c r="M3" s="23"/>
      <c r="N3" s="27" t="str">
        <f ca="1" t="shared" ref="N3:N34" si="0">IF(AND(M3="",L3=""),"国内无查验",IF(M3="",TODAY()-L3,M3-L3))</f>
        <v>国内无查验</v>
      </c>
      <c r="O3" s="25">
        <v>46049</v>
      </c>
      <c r="P3" s="23"/>
      <c r="Q3" s="27">
        <f ca="1" t="shared" ref="Q3:Q34" si="1">IF(AND(P3="",O3=""),"国外无查验",IF(P3="",TODAY()-O3,P3-O3))</f>
        <v>132</v>
      </c>
      <c r="R3" s="30" t="s">
        <v>43</v>
      </c>
      <c r="S3" s="29" t="s">
        <v>44</v>
      </c>
      <c r="T3" s="24" t="s">
        <v>45</v>
      </c>
      <c r="U3" s="24" t="str">
        <f>_xlfn.DISPIMG("ID_855FD27BA79045D0B427E886C5CF4E4C",1)</f>
        <v>=DISPIMG("ID_855FD27BA79045D0B427E886C5CF4E4C",1)</v>
      </c>
      <c r="V3" s="7" t="s">
        <v>46</v>
      </c>
    </row>
    <row r="4" ht="35" customHeight="1" spans="1:23">
      <c r="A4" s="23" t="s">
        <v>23</v>
      </c>
      <c r="B4" s="23" t="s">
        <v>24</v>
      </c>
      <c r="C4" s="23" t="s">
        <v>47</v>
      </c>
      <c r="D4" s="7" t="s">
        <v>48</v>
      </c>
      <c r="E4" s="7">
        <v>401</v>
      </c>
      <c r="F4" s="24" t="s">
        <v>38</v>
      </c>
      <c r="G4" s="9">
        <v>46031</v>
      </c>
      <c r="H4" s="23" t="s">
        <v>39</v>
      </c>
      <c r="I4" s="24" t="s">
        <v>40</v>
      </c>
      <c r="J4" s="24"/>
      <c r="K4" s="24" t="s">
        <v>42</v>
      </c>
      <c r="L4" s="9"/>
      <c r="M4" s="23"/>
      <c r="N4" s="27" t="str">
        <f ca="1" t="shared" si="0"/>
        <v>国内无查验</v>
      </c>
      <c r="O4" s="25">
        <v>46049</v>
      </c>
      <c r="P4" s="23"/>
      <c r="Q4" s="27">
        <f ca="1" t="shared" si="1"/>
        <v>132</v>
      </c>
      <c r="R4" s="29"/>
      <c r="T4" s="24"/>
      <c r="U4" s="8"/>
      <c r="V4" s="7" t="s">
        <v>46</v>
      </c>
    </row>
    <row r="5" ht="35" customHeight="1" spans="1:23">
      <c r="A5" s="23" t="s">
        <v>23</v>
      </c>
      <c r="B5" s="23" t="s">
        <v>24</v>
      </c>
      <c r="C5" s="23" t="s">
        <v>49</v>
      </c>
      <c r="D5" s="7" t="s">
        <v>50</v>
      </c>
      <c r="E5" s="7">
        <v>401</v>
      </c>
      <c r="F5" s="24" t="s">
        <v>38</v>
      </c>
      <c r="G5" s="9">
        <v>46031</v>
      </c>
      <c r="H5" s="23" t="s">
        <v>39</v>
      </c>
      <c r="I5" s="24" t="s">
        <v>40</v>
      </c>
      <c r="J5" s="24"/>
      <c r="K5" s="24" t="s">
        <v>42</v>
      </c>
      <c r="L5" s="9"/>
      <c r="M5" s="23"/>
      <c r="N5" s="27" t="str">
        <f ca="1" t="shared" si="0"/>
        <v>国内无查验</v>
      </c>
      <c r="O5" s="25">
        <v>46049</v>
      </c>
      <c r="P5" s="23"/>
      <c r="Q5" s="27">
        <f ca="1" t="shared" si="1"/>
        <v>132</v>
      </c>
      <c r="R5" s="29"/>
      <c r="T5" s="24"/>
      <c r="U5" s="8"/>
      <c r="V5" s="7" t="s">
        <v>46</v>
      </c>
    </row>
    <row r="6" ht="35" customHeight="1" spans="1:23">
      <c r="A6" s="23" t="s">
        <v>23</v>
      </c>
      <c r="B6" s="23" t="s">
        <v>24</v>
      </c>
      <c r="C6" s="23" t="s">
        <v>51</v>
      </c>
      <c r="D6" s="7" t="s">
        <v>52</v>
      </c>
      <c r="E6" s="7">
        <v>401</v>
      </c>
      <c r="F6" s="24" t="s">
        <v>38</v>
      </c>
      <c r="G6" s="9">
        <v>46031</v>
      </c>
      <c r="H6" s="23" t="s">
        <v>39</v>
      </c>
      <c r="I6" s="24" t="s">
        <v>40</v>
      </c>
      <c r="J6" s="24"/>
      <c r="K6" s="24" t="s">
        <v>42</v>
      </c>
      <c r="L6" s="9"/>
      <c r="M6" s="23"/>
      <c r="N6" s="27" t="str">
        <f ca="1" t="shared" si="0"/>
        <v>国内无查验</v>
      </c>
      <c r="O6" s="25">
        <v>46049</v>
      </c>
      <c r="P6" s="23"/>
      <c r="Q6" s="27">
        <f ca="1" t="shared" si="1"/>
        <v>132</v>
      </c>
      <c r="R6" s="29"/>
      <c r="T6" s="24"/>
      <c r="U6" s="8"/>
      <c r="V6" s="7" t="s">
        <v>46</v>
      </c>
    </row>
    <row r="7" ht="35" customHeight="1" spans="1:23">
      <c r="A7" s="23" t="s">
        <v>23</v>
      </c>
      <c r="B7" s="23" t="s">
        <v>24</v>
      </c>
      <c r="C7" s="23" t="s">
        <v>53</v>
      </c>
      <c r="D7" s="7" t="s">
        <v>54</v>
      </c>
      <c r="E7" s="7">
        <v>401</v>
      </c>
      <c r="F7" s="24" t="s">
        <v>38</v>
      </c>
      <c r="G7" s="9">
        <v>46031</v>
      </c>
      <c r="H7" s="23" t="s">
        <v>39</v>
      </c>
      <c r="I7" s="24" t="s">
        <v>40</v>
      </c>
      <c r="J7" s="24"/>
      <c r="K7" s="24" t="s">
        <v>42</v>
      </c>
      <c r="L7" s="9"/>
      <c r="M7" s="23"/>
      <c r="N7" s="27" t="str">
        <f ca="1" t="shared" si="0"/>
        <v>国内无查验</v>
      </c>
      <c r="O7" s="25">
        <v>46049</v>
      </c>
      <c r="P7" s="23"/>
      <c r="Q7" s="27">
        <f ca="1" t="shared" si="1"/>
        <v>132</v>
      </c>
      <c r="R7" s="29"/>
      <c r="T7" s="24"/>
      <c r="U7" s="8"/>
      <c r="V7" s="7" t="s">
        <v>46</v>
      </c>
    </row>
    <row r="8" ht="30" customHeight="1" spans="1:23">
      <c r="A8" s="23" t="s">
        <v>55</v>
      </c>
      <c r="B8" s="23" t="s">
        <v>56</v>
      </c>
      <c r="C8" s="23" t="s">
        <v>57</v>
      </c>
      <c r="D8" s="7" t="s">
        <v>58</v>
      </c>
      <c r="E8" s="7">
        <v>3849</v>
      </c>
      <c r="F8" s="24" t="str">
        <f>_xlfn.DISPIMG("ID_9326E261A4594CC187A7735D9BEF4AAE",1)</f>
        <v>=DISPIMG("ID_9326E261A4594CC187A7735D9BEF4AAE",1)</v>
      </c>
      <c r="G8" s="9">
        <v>46031</v>
      </c>
      <c r="H8" s="23" t="s">
        <v>59</v>
      </c>
      <c r="I8" s="8" t="s">
        <v>60</v>
      </c>
      <c r="J8" s="24" t="s">
        <v>61</v>
      </c>
      <c r="K8" s="24" t="s">
        <v>46</v>
      </c>
      <c r="L8" s="25">
        <v>46035</v>
      </c>
      <c r="M8" s="23"/>
      <c r="N8" s="31">
        <f ca="1" t="shared" si="0"/>
        <v>146</v>
      </c>
      <c r="O8" s="25"/>
      <c r="P8" s="23"/>
      <c r="Q8" s="27" t="str">
        <f ca="1" t="shared" si="1"/>
        <v>国外无查验</v>
      </c>
      <c r="R8" s="32" t="s">
        <v>62</v>
      </c>
      <c r="S8" s="29"/>
      <c r="T8" s="24" t="s">
        <v>63</v>
      </c>
      <c r="V8" s="7" t="s">
        <v>46</v>
      </c>
    </row>
    <row r="9" ht="31.5" customHeight="1" spans="1:23">
      <c r="A9" s="23" t="s">
        <v>55</v>
      </c>
      <c r="B9" s="23" t="s">
        <v>56</v>
      </c>
      <c r="C9" s="23" t="s">
        <v>64</v>
      </c>
      <c r="D9" s="7" t="s">
        <v>65</v>
      </c>
      <c r="E9" s="7">
        <v>3849</v>
      </c>
      <c r="F9" s="24"/>
      <c r="G9" s="9">
        <v>46031</v>
      </c>
      <c r="H9" s="23" t="s">
        <v>59</v>
      </c>
      <c r="I9" s="8" t="s">
        <v>60</v>
      </c>
      <c r="J9" s="24"/>
      <c r="K9" s="24" t="s">
        <v>46</v>
      </c>
      <c r="L9" s="25">
        <v>46035</v>
      </c>
      <c r="M9" s="23"/>
      <c r="N9" s="31">
        <f ca="1" t="shared" si="0"/>
        <v>146</v>
      </c>
      <c r="O9" s="25"/>
      <c r="P9" s="23"/>
      <c r="Q9" s="27" t="str">
        <f ca="1" t="shared" si="1"/>
        <v>国外无查验</v>
      </c>
      <c r="R9" s="32"/>
      <c r="S9" s="33"/>
      <c r="T9" s="24"/>
      <c r="V9" s="7" t="s">
        <v>46</v>
      </c>
    </row>
    <row r="10" ht="25" customHeight="1" spans="1:23">
      <c r="A10" s="23" t="s">
        <v>66</v>
      </c>
      <c r="B10" s="23" t="s">
        <v>67</v>
      </c>
      <c r="C10" s="23" t="s">
        <v>68</v>
      </c>
      <c r="D10" s="7" t="s">
        <v>69</v>
      </c>
      <c r="E10" s="7">
        <v>684</v>
      </c>
      <c r="F10" s="24" t="s">
        <v>70</v>
      </c>
      <c r="G10" s="9">
        <v>46029</v>
      </c>
      <c r="H10" s="23" t="s">
        <v>39</v>
      </c>
      <c r="I10" s="24" t="s">
        <v>40</v>
      </c>
      <c r="J10" s="24" t="s">
        <v>41</v>
      </c>
      <c r="K10" s="24" t="s">
        <v>71</v>
      </c>
      <c r="L10" s="9"/>
      <c r="M10" s="23"/>
      <c r="N10" s="27" t="str">
        <f ca="1" t="shared" si="0"/>
        <v>国内无查验</v>
      </c>
      <c r="O10" s="25">
        <v>46050</v>
      </c>
      <c r="P10" s="23"/>
      <c r="Q10" s="27">
        <f ca="1" t="shared" si="1"/>
        <v>131</v>
      </c>
      <c r="R10" s="30" t="s">
        <v>72</v>
      </c>
      <c r="S10" s="29" t="s">
        <v>44</v>
      </c>
      <c r="T10" s="24" t="s">
        <v>45</v>
      </c>
      <c r="U10" s="24" t="str">
        <f>_xlfn.DISPIMG("ID_426B9DEB66D24560934526A6BC8F3E29",1)</f>
        <v>=DISPIMG("ID_426B9DEB66D24560934526A6BC8F3E29",1)</v>
      </c>
      <c r="V10" s="7" t="s">
        <v>46</v>
      </c>
    </row>
    <row r="11" ht="25" customHeight="1" spans="1:23">
      <c r="A11" s="23" t="s">
        <v>66</v>
      </c>
      <c r="B11" s="23" t="s">
        <v>67</v>
      </c>
      <c r="C11" s="23" t="s">
        <v>73</v>
      </c>
      <c r="D11" s="7" t="s">
        <v>74</v>
      </c>
      <c r="E11" s="7">
        <v>316</v>
      </c>
      <c r="F11" s="24" t="s">
        <v>70</v>
      </c>
      <c r="G11" s="9">
        <v>46029</v>
      </c>
      <c r="H11" s="23" t="s">
        <v>39</v>
      </c>
      <c r="I11" s="24" t="s">
        <v>40</v>
      </c>
      <c r="K11" s="24" t="s">
        <v>71</v>
      </c>
      <c r="L11" s="9"/>
      <c r="M11" s="23"/>
      <c r="N11" s="27" t="str">
        <f ca="1" t="shared" si="0"/>
        <v>国内无查验</v>
      </c>
      <c r="O11" s="25">
        <v>46050</v>
      </c>
      <c r="P11" s="23"/>
      <c r="Q11" s="27">
        <f ca="1" t="shared" si="1"/>
        <v>131</v>
      </c>
      <c r="R11" s="29"/>
      <c r="T11" s="24"/>
      <c r="U11" s="8"/>
      <c r="V11" s="7" t="s">
        <v>46</v>
      </c>
    </row>
    <row r="12" ht="25" customHeight="1" spans="1:23">
      <c r="A12" s="23" t="s">
        <v>66</v>
      </c>
      <c r="B12" s="23" t="s">
        <v>67</v>
      </c>
      <c r="C12" s="23" t="s">
        <v>75</v>
      </c>
      <c r="D12" s="7" t="s">
        <v>76</v>
      </c>
      <c r="E12" s="7">
        <v>418</v>
      </c>
      <c r="F12" s="24" t="s">
        <v>70</v>
      </c>
      <c r="G12" s="9">
        <v>46029</v>
      </c>
      <c r="H12" s="23" t="s">
        <v>39</v>
      </c>
      <c r="I12" s="24" t="s">
        <v>40</v>
      </c>
      <c r="K12" s="24" t="s">
        <v>71</v>
      </c>
      <c r="L12" s="9"/>
      <c r="M12" s="23"/>
      <c r="N12" s="27" t="str">
        <f ca="1" t="shared" si="0"/>
        <v>国内无查验</v>
      </c>
      <c r="O12" s="25">
        <v>46050</v>
      </c>
      <c r="P12" s="23"/>
      <c r="Q12" s="27">
        <f ca="1" t="shared" si="1"/>
        <v>131</v>
      </c>
      <c r="R12" s="29"/>
      <c r="T12" s="24"/>
      <c r="U12" s="8"/>
      <c r="V12" s="7" t="s">
        <v>46</v>
      </c>
    </row>
    <row r="13" ht="25" customHeight="1" spans="1:23">
      <c r="A13" s="23" t="s">
        <v>66</v>
      </c>
      <c r="B13" s="23" t="s">
        <v>67</v>
      </c>
      <c r="C13" s="23" t="s">
        <v>77</v>
      </c>
      <c r="D13" s="7" t="s">
        <v>78</v>
      </c>
      <c r="E13" s="7">
        <v>48</v>
      </c>
      <c r="F13" s="24" t="s">
        <v>70</v>
      </c>
      <c r="G13" s="9">
        <v>46029</v>
      </c>
      <c r="H13" s="23" t="s">
        <v>39</v>
      </c>
      <c r="I13" s="24" t="s">
        <v>40</v>
      </c>
      <c r="K13" s="24" t="s">
        <v>71</v>
      </c>
      <c r="L13" s="9"/>
      <c r="M13" s="23"/>
      <c r="N13" s="27" t="str">
        <f ca="1" t="shared" si="0"/>
        <v>国内无查验</v>
      </c>
      <c r="O13" s="25">
        <v>46050</v>
      </c>
      <c r="P13" s="23"/>
      <c r="Q13" s="27">
        <f ca="1" t="shared" si="1"/>
        <v>131</v>
      </c>
      <c r="R13" s="29"/>
      <c r="T13" s="24"/>
      <c r="U13" s="8"/>
      <c r="V13" s="7" t="s">
        <v>46</v>
      </c>
    </row>
    <row r="14" ht="25" customHeight="1" spans="1:23">
      <c r="A14" s="23" t="s">
        <v>66</v>
      </c>
      <c r="B14" s="23" t="s">
        <v>67</v>
      </c>
      <c r="C14" s="23" t="s">
        <v>79</v>
      </c>
      <c r="D14" s="7" t="s">
        <v>80</v>
      </c>
      <c r="E14" s="7">
        <v>476</v>
      </c>
      <c r="F14" s="24" t="s">
        <v>70</v>
      </c>
      <c r="G14" s="9">
        <v>46029</v>
      </c>
      <c r="H14" s="23" t="s">
        <v>39</v>
      </c>
      <c r="I14" s="24" t="s">
        <v>40</v>
      </c>
      <c r="K14" s="24" t="s">
        <v>71</v>
      </c>
      <c r="L14" s="9"/>
      <c r="M14" s="23"/>
      <c r="N14" s="27" t="str">
        <f ca="1" t="shared" si="0"/>
        <v>国内无查验</v>
      </c>
      <c r="O14" s="25">
        <v>46050</v>
      </c>
      <c r="P14" s="23"/>
      <c r="Q14" s="27">
        <f ca="1" t="shared" si="1"/>
        <v>131</v>
      </c>
      <c r="R14" s="29"/>
      <c r="T14" s="24"/>
      <c r="U14" s="8"/>
      <c r="V14" s="7" t="s">
        <v>46</v>
      </c>
    </row>
    <row r="15" ht="25" customHeight="1" spans="1:23">
      <c r="A15" s="23" t="s">
        <v>66</v>
      </c>
      <c r="B15" s="23" t="s">
        <v>67</v>
      </c>
      <c r="C15" s="23" t="s">
        <v>81</v>
      </c>
      <c r="D15" s="7" t="s">
        <v>82</v>
      </c>
      <c r="E15" s="7">
        <v>364</v>
      </c>
      <c r="F15" s="24" t="s">
        <v>70</v>
      </c>
      <c r="G15" s="9">
        <v>46029</v>
      </c>
      <c r="H15" s="23" t="s">
        <v>39</v>
      </c>
      <c r="I15" s="24" t="s">
        <v>40</v>
      </c>
      <c r="K15" s="24" t="s">
        <v>71</v>
      </c>
      <c r="L15" s="9"/>
      <c r="M15" s="23"/>
      <c r="N15" s="27" t="str">
        <f ca="1" t="shared" si="0"/>
        <v>国内无查验</v>
      </c>
      <c r="O15" s="25">
        <v>46050</v>
      </c>
      <c r="P15" s="23"/>
      <c r="Q15" s="27">
        <f ca="1" t="shared" si="1"/>
        <v>131</v>
      </c>
      <c r="R15" s="29"/>
      <c r="T15" s="24"/>
      <c r="U15" s="8"/>
      <c r="V15" s="7" t="s">
        <v>46</v>
      </c>
    </row>
    <row r="16" ht="25" customHeight="1" spans="1:23">
      <c r="A16" s="23" t="s">
        <v>66</v>
      </c>
      <c r="B16" s="23" t="s">
        <v>67</v>
      </c>
      <c r="C16" s="23" t="s">
        <v>83</v>
      </c>
      <c r="D16" s="7" t="s">
        <v>84</v>
      </c>
      <c r="E16" s="7">
        <v>191</v>
      </c>
      <c r="F16" s="24" t="s">
        <v>70</v>
      </c>
      <c r="G16" s="9">
        <v>46029</v>
      </c>
      <c r="H16" s="23" t="s">
        <v>39</v>
      </c>
      <c r="I16" s="24" t="s">
        <v>40</v>
      </c>
      <c r="K16" s="24" t="s">
        <v>71</v>
      </c>
      <c r="L16" s="9"/>
      <c r="M16" s="23"/>
      <c r="N16" s="27" t="str">
        <f ca="1" t="shared" si="0"/>
        <v>国内无查验</v>
      </c>
      <c r="O16" s="25">
        <v>46050</v>
      </c>
      <c r="P16" s="23"/>
      <c r="Q16" s="27">
        <f ca="1" t="shared" si="1"/>
        <v>131</v>
      </c>
      <c r="R16" s="30" t="s">
        <v>85</v>
      </c>
      <c r="T16" s="24"/>
      <c r="U16" s="8"/>
      <c r="V16" s="7" t="s">
        <v>46</v>
      </c>
    </row>
    <row r="17" ht="25" customHeight="1" spans="1:23">
      <c r="A17" s="23" t="s">
        <v>66</v>
      </c>
      <c r="B17" s="23" t="s">
        <v>67</v>
      </c>
      <c r="C17" s="23" t="s">
        <v>86</v>
      </c>
      <c r="D17" s="7" t="s">
        <v>87</v>
      </c>
      <c r="E17" s="7">
        <v>191</v>
      </c>
      <c r="F17" s="24" t="s">
        <v>70</v>
      </c>
      <c r="G17" s="9">
        <v>46029</v>
      </c>
      <c r="H17" s="23" t="s">
        <v>39</v>
      </c>
      <c r="I17" s="24" t="s">
        <v>40</v>
      </c>
      <c r="K17" s="24" t="s">
        <v>71</v>
      </c>
      <c r="L17" s="9"/>
      <c r="M17" s="23"/>
      <c r="N17" s="27" t="str">
        <f ca="1" t="shared" si="0"/>
        <v>国内无查验</v>
      </c>
      <c r="O17" s="25">
        <v>46050</v>
      </c>
      <c r="P17" s="23"/>
      <c r="Q17" s="27">
        <f ca="1" t="shared" si="1"/>
        <v>131</v>
      </c>
      <c r="R17" s="29"/>
      <c r="T17" s="24"/>
      <c r="U17" s="8"/>
      <c r="V17" s="7" t="s">
        <v>46</v>
      </c>
    </row>
    <row r="18" ht="25" customHeight="1" spans="1:23">
      <c r="A18" s="23" t="s">
        <v>66</v>
      </c>
      <c r="B18" s="23" t="s">
        <v>67</v>
      </c>
      <c r="C18" s="23" t="s">
        <v>88</v>
      </c>
      <c r="D18" s="7" t="s">
        <v>89</v>
      </c>
      <c r="E18" s="7">
        <v>191</v>
      </c>
      <c r="F18" s="24" t="s">
        <v>70</v>
      </c>
      <c r="G18" s="9">
        <v>46029</v>
      </c>
      <c r="H18" s="23" t="s">
        <v>39</v>
      </c>
      <c r="I18" s="24" t="s">
        <v>40</v>
      </c>
      <c r="K18" s="24" t="s">
        <v>71</v>
      </c>
      <c r="L18" s="9"/>
      <c r="M18" s="23"/>
      <c r="N18" s="27" t="str">
        <f ca="1" t="shared" si="0"/>
        <v>国内无查验</v>
      </c>
      <c r="O18" s="25">
        <v>46050</v>
      </c>
      <c r="P18" s="23"/>
      <c r="Q18" s="27">
        <f ca="1" t="shared" si="1"/>
        <v>131</v>
      </c>
      <c r="R18" s="29"/>
      <c r="T18" s="24"/>
      <c r="U18" s="8"/>
      <c r="V18" s="7" t="s">
        <v>46</v>
      </c>
    </row>
    <row r="19" ht="25" customHeight="1" spans="1:23">
      <c r="A19" s="23" t="s">
        <v>66</v>
      </c>
      <c r="B19" s="23" t="s">
        <v>67</v>
      </c>
      <c r="C19" s="23" t="s">
        <v>90</v>
      </c>
      <c r="D19" s="7" t="s">
        <v>91</v>
      </c>
      <c r="E19" s="7">
        <v>191</v>
      </c>
      <c r="F19" s="24" t="s">
        <v>70</v>
      </c>
      <c r="G19" s="9">
        <v>46029</v>
      </c>
      <c r="H19" s="23" t="s">
        <v>39</v>
      </c>
      <c r="I19" s="24" t="s">
        <v>40</v>
      </c>
      <c r="K19" s="24" t="s">
        <v>71</v>
      </c>
      <c r="L19" s="9"/>
      <c r="M19" s="23"/>
      <c r="N19" s="27" t="str">
        <f ca="1" t="shared" si="0"/>
        <v>国内无查验</v>
      </c>
      <c r="O19" s="25">
        <v>46050</v>
      </c>
      <c r="P19" s="23"/>
      <c r="Q19" s="27">
        <f ca="1" t="shared" si="1"/>
        <v>131</v>
      </c>
      <c r="R19" s="29"/>
      <c r="T19" s="24"/>
      <c r="U19" s="8"/>
      <c r="V19" s="7" t="s">
        <v>46</v>
      </c>
    </row>
    <row r="20" ht="25" customHeight="1" spans="1:23">
      <c r="A20" s="23" t="s">
        <v>66</v>
      </c>
      <c r="B20" s="23" t="s">
        <v>67</v>
      </c>
      <c r="C20" s="23" t="s">
        <v>92</v>
      </c>
      <c r="D20" s="7" t="s">
        <v>93</v>
      </c>
      <c r="E20" s="7">
        <v>191</v>
      </c>
      <c r="F20" s="24" t="s">
        <v>70</v>
      </c>
      <c r="G20" s="9">
        <v>46029</v>
      </c>
      <c r="H20" s="23" t="s">
        <v>39</v>
      </c>
      <c r="I20" s="24" t="s">
        <v>40</v>
      </c>
      <c r="K20" s="24" t="s">
        <v>71</v>
      </c>
      <c r="L20" s="9"/>
      <c r="M20" s="23"/>
      <c r="N20" s="27" t="str">
        <f ca="1" t="shared" si="0"/>
        <v>国内无查验</v>
      </c>
      <c r="O20" s="25">
        <v>46050</v>
      </c>
      <c r="P20" s="23"/>
      <c r="Q20" s="27">
        <f ca="1" t="shared" si="1"/>
        <v>131</v>
      </c>
      <c r="R20" s="29"/>
      <c r="T20" s="24"/>
      <c r="U20" s="8"/>
      <c r="V20" s="7" t="s">
        <v>46</v>
      </c>
    </row>
    <row r="21" ht="85" customHeight="1" spans="1:23">
      <c r="A21" s="23" t="s">
        <v>94</v>
      </c>
      <c r="B21" s="23" t="s">
        <v>95</v>
      </c>
      <c r="C21" s="23"/>
      <c r="D21" s="23" t="s">
        <v>96</v>
      </c>
      <c r="E21" s="7">
        <v>850</v>
      </c>
      <c r="F21" s="8">
        <v>102</v>
      </c>
      <c r="G21" s="9">
        <v>45996</v>
      </c>
      <c r="H21" s="23" t="s">
        <v>28</v>
      </c>
      <c r="I21" s="24" t="s">
        <v>29</v>
      </c>
      <c r="J21" s="24" t="s">
        <v>97</v>
      </c>
      <c r="K21" s="24" t="s">
        <v>98</v>
      </c>
      <c r="L21" s="9"/>
      <c r="M21" s="23"/>
      <c r="N21" s="27" t="str">
        <f ca="1" t="shared" si="0"/>
        <v>国内无查验</v>
      </c>
      <c r="O21" s="25">
        <v>46002</v>
      </c>
      <c r="P21" s="23"/>
      <c r="Q21" s="27">
        <f ca="1" t="shared" si="1"/>
        <v>179</v>
      </c>
      <c r="R21" s="29" t="s">
        <v>99</v>
      </c>
      <c r="S21" s="29" t="s">
        <v>33</v>
      </c>
      <c r="T21" s="29" t="s">
        <v>34</v>
      </c>
      <c r="U21" s="24" t="s">
        <v>35</v>
      </c>
    </row>
    <row r="22" customHeight="1" spans="1:23">
      <c r="A22" s="23" t="s">
        <v>100</v>
      </c>
      <c r="B22" s="23" t="s">
        <v>101</v>
      </c>
      <c r="C22" s="23" t="s">
        <v>102</v>
      </c>
      <c r="D22" s="7" t="s">
        <v>103</v>
      </c>
      <c r="E22" s="6">
        <v>490</v>
      </c>
      <c r="F22" s="24" t="s">
        <v>104</v>
      </c>
      <c r="G22" s="9">
        <v>46028</v>
      </c>
      <c r="H22" s="23" t="s">
        <v>39</v>
      </c>
      <c r="I22" s="24" t="s">
        <v>40</v>
      </c>
      <c r="J22" s="24" t="s">
        <v>41</v>
      </c>
      <c r="K22" s="24" t="s">
        <v>71</v>
      </c>
      <c r="L22" s="9"/>
      <c r="M22" s="23"/>
      <c r="N22" s="27" t="str">
        <f ca="1" t="shared" si="0"/>
        <v>国内无查验</v>
      </c>
      <c r="O22" s="25">
        <v>46050</v>
      </c>
      <c r="P22" s="23"/>
      <c r="Q22" s="27">
        <f ca="1" t="shared" si="1"/>
        <v>131</v>
      </c>
      <c r="R22" s="29" t="s">
        <v>105</v>
      </c>
      <c r="S22" s="29" t="s">
        <v>44</v>
      </c>
      <c r="T22" s="24" t="s">
        <v>45</v>
      </c>
      <c r="U22" s="24" t="str">
        <f>_xlfn.DISPIMG("ID_737352BCD0CE4FC2AEBF9D8E90F307B7",1)</f>
        <v>=DISPIMG("ID_737352BCD0CE4FC2AEBF9D8E90F307B7",1)</v>
      </c>
      <c r="V22" s="7" t="s">
        <v>31</v>
      </c>
      <c r="W22" s="9">
        <v>46154</v>
      </c>
    </row>
    <row r="23" customHeight="1" spans="1:23">
      <c r="A23" s="23" t="s">
        <v>100</v>
      </c>
      <c r="B23" s="23" t="s">
        <v>101</v>
      </c>
      <c r="C23" s="23" t="s">
        <v>106</v>
      </c>
      <c r="D23" s="7" t="s">
        <v>107</v>
      </c>
      <c r="E23" s="6">
        <v>205</v>
      </c>
      <c r="F23" s="24" t="s">
        <v>104</v>
      </c>
      <c r="G23" s="9">
        <v>46028</v>
      </c>
      <c r="H23" s="23" t="s">
        <v>39</v>
      </c>
      <c r="I23" s="24" t="s">
        <v>40</v>
      </c>
      <c r="J23" s="24"/>
      <c r="K23" s="24" t="s">
        <v>71</v>
      </c>
      <c r="L23" s="9"/>
      <c r="M23" s="23"/>
      <c r="N23" s="27" t="str">
        <f ca="1" t="shared" si="0"/>
        <v>国内无查验</v>
      </c>
      <c r="O23" s="25">
        <v>46050</v>
      </c>
      <c r="P23" s="23"/>
      <c r="Q23" s="27">
        <f ca="1" t="shared" si="1"/>
        <v>131</v>
      </c>
      <c r="R23" s="29"/>
      <c r="T23" s="24"/>
      <c r="U23" s="8"/>
      <c r="V23" s="7" t="s">
        <v>31</v>
      </c>
      <c r="W23" s="9">
        <v>46154</v>
      </c>
    </row>
    <row r="24" customHeight="1" spans="1:23">
      <c r="A24" s="23" t="s">
        <v>100</v>
      </c>
      <c r="B24" s="23" t="s">
        <v>101</v>
      </c>
      <c r="C24" s="23" t="s">
        <v>108</v>
      </c>
      <c r="D24" s="7" t="s">
        <v>109</v>
      </c>
      <c r="E24" s="7">
        <v>741</v>
      </c>
      <c r="F24" s="24" t="s">
        <v>110</v>
      </c>
      <c r="G24" s="9">
        <v>46029</v>
      </c>
      <c r="H24" s="23" t="s">
        <v>39</v>
      </c>
      <c r="I24" s="24" t="s">
        <v>40</v>
      </c>
      <c r="J24" s="24"/>
      <c r="K24" s="24" t="s">
        <v>71</v>
      </c>
      <c r="L24" s="9"/>
      <c r="M24" s="23"/>
      <c r="N24" s="27" t="str">
        <f ca="1" t="shared" si="0"/>
        <v>国内无查验</v>
      </c>
      <c r="O24" s="25">
        <v>46050</v>
      </c>
      <c r="P24" s="23"/>
      <c r="Q24" s="27">
        <f ca="1" t="shared" si="1"/>
        <v>131</v>
      </c>
      <c r="R24" s="29" t="s">
        <v>111</v>
      </c>
      <c r="T24" s="24"/>
      <c r="U24" s="8"/>
      <c r="V24" s="7" t="s">
        <v>46</v>
      </c>
    </row>
    <row r="25" customHeight="1" spans="1:23">
      <c r="A25" s="23" t="s">
        <v>100</v>
      </c>
      <c r="B25" s="23" t="s">
        <v>101</v>
      </c>
      <c r="C25" s="23" t="s">
        <v>112</v>
      </c>
      <c r="D25" s="7" t="s">
        <v>113</v>
      </c>
      <c r="E25" s="7">
        <v>1009</v>
      </c>
      <c r="F25" s="24" t="s">
        <v>110</v>
      </c>
      <c r="G25" s="9">
        <v>46029</v>
      </c>
      <c r="H25" s="23" t="s">
        <v>39</v>
      </c>
      <c r="I25" s="24" t="s">
        <v>40</v>
      </c>
      <c r="J25" s="24"/>
      <c r="K25" s="24" t="s">
        <v>71</v>
      </c>
      <c r="L25" s="9"/>
      <c r="M25" s="23"/>
      <c r="N25" s="27" t="str">
        <f ca="1" t="shared" si="0"/>
        <v>国内无查验</v>
      </c>
      <c r="O25" s="25">
        <v>46050</v>
      </c>
      <c r="P25" s="23"/>
      <c r="Q25" s="27">
        <f ca="1" t="shared" si="1"/>
        <v>131</v>
      </c>
      <c r="R25" s="29"/>
      <c r="T25" s="24"/>
      <c r="U25" s="8"/>
      <c r="V25" s="7" t="s">
        <v>46</v>
      </c>
    </row>
    <row r="26" customHeight="1" spans="1:23">
      <c r="A26" s="23" t="s">
        <v>100</v>
      </c>
      <c r="B26" s="23" t="s">
        <v>101</v>
      </c>
      <c r="C26" s="23" t="s">
        <v>114</v>
      </c>
      <c r="D26" s="7" t="s">
        <v>115</v>
      </c>
      <c r="E26" s="7">
        <v>741</v>
      </c>
      <c r="F26" s="24" t="s">
        <v>110</v>
      </c>
      <c r="G26" s="9">
        <v>46029</v>
      </c>
      <c r="H26" s="23" t="s">
        <v>39</v>
      </c>
      <c r="I26" s="24" t="s">
        <v>40</v>
      </c>
      <c r="J26" s="24"/>
      <c r="K26" s="24" t="s">
        <v>71</v>
      </c>
      <c r="L26" s="9"/>
      <c r="M26" s="23"/>
      <c r="N26" s="27" t="str">
        <f ca="1" t="shared" si="0"/>
        <v>国内无查验</v>
      </c>
      <c r="O26" s="25">
        <v>46050</v>
      </c>
      <c r="P26" s="23"/>
      <c r="Q26" s="27">
        <f ca="1" t="shared" si="1"/>
        <v>131</v>
      </c>
      <c r="R26" s="29"/>
      <c r="T26" s="24"/>
      <c r="U26" s="8"/>
      <c r="V26" s="7" t="s">
        <v>46</v>
      </c>
    </row>
    <row r="27" customHeight="1" spans="1:23">
      <c r="A27" s="23" t="s">
        <v>100</v>
      </c>
      <c r="B27" s="23" t="s">
        <v>101</v>
      </c>
      <c r="C27" s="23" t="s">
        <v>116</v>
      </c>
      <c r="D27" s="7" t="s">
        <v>117</v>
      </c>
      <c r="E27" s="7">
        <v>1121</v>
      </c>
      <c r="F27" s="24" t="s">
        <v>110</v>
      </c>
      <c r="G27" s="9">
        <v>46029</v>
      </c>
      <c r="H27" s="23" t="s">
        <v>39</v>
      </c>
      <c r="I27" s="24" t="s">
        <v>40</v>
      </c>
      <c r="J27" s="24"/>
      <c r="K27" s="24" t="s">
        <v>71</v>
      </c>
      <c r="L27" s="9"/>
      <c r="M27" s="23"/>
      <c r="N27" s="27" t="str">
        <f ca="1" t="shared" si="0"/>
        <v>国内无查验</v>
      </c>
      <c r="O27" s="25">
        <v>46050</v>
      </c>
      <c r="P27" s="23"/>
      <c r="Q27" s="27">
        <f ca="1" t="shared" si="1"/>
        <v>131</v>
      </c>
      <c r="R27" s="29"/>
      <c r="T27" s="24"/>
      <c r="U27" s="8"/>
      <c r="V27" s="7" t="s">
        <v>46</v>
      </c>
    </row>
    <row r="28" customHeight="1" spans="1:23">
      <c r="A28" s="23" t="s">
        <v>100</v>
      </c>
      <c r="B28" s="23" t="s">
        <v>101</v>
      </c>
      <c r="C28" s="23" t="s">
        <v>118</v>
      </c>
      <c r="D28" s="7" t="s">
        <v>119</v>
      </c>
      <c r="E28" s="7">
        <v>961</v>
      </c>
      <c r="F28" s="24" t="s">
        <v>110</v>
      </c>
      <c r="G28" s="9">
        <v>46029</v>
      </c>
      <c r="H28" s="23" t="s">
        <v>39</v>
      </c>
      <c r="I28" s="24" t="s">
        <v>40</v>
      </c>
      <c r="J28" s="24"/>
      <c r="K28" s="24" t="s">
        <v>71</v>
      </c>
      <c r="L28" s="9"/>
      <c r="M28" s="23"/>
      <c r="N28" s="27" t="str">
        <f ca="1" t="shared" si="0"/>
        <v>国内无查验</v>
      </c>
      <c r="O28" s="25">
        <v>46050</v>
      </c>
      <c r="P28" s="23"/>
      <c r="Q28" s="27">
        <f ca="1" t="shared" si="1"/>
        <v>131</v>
      </c>
      <c r="R28" s="29"/>
      <c r="T28" s="24"/>
      <c r="U28" s="8"/>
      <c r="V28" s="7" t="s">
        <v>46</v>
      </c>
    </row>
    <row r="29" customHeight="1" spans="1:23">
      <c r="A29" s="23" t="s">
        <v>100</v>
      </c>
      <c r="B29" s="23" t="s">
        <v>101</v>
      </c>
      <c r="C29" s="23" t="s">
        <v>120</v>
      </c>
      <c r="D29" s="7" t="s">
        <v>121</v>
      </c>
      <c r="E29" s="7">
        <v>224</v>
      </c>
      <c r="F29" s="24" t="s">
        <v>110</v>
      </c>
      <c r="G29" s="9">
        <v>46031</v>
      </c>
      <c r="H29" s="23" t="s">
        <v>39</v>
      </c>
      <c r="I29" s="24" t="s">
        <v>40</v>
      </c>
      <c r="J29" s="24"/>
      <c r="K29" s="24" t="s">
        <v>42</v>
      </c>
      <c r="L29" s="9"/>
      <c r="M29" s="23"/>
      <c r="N29" s="27" t="str">
        <f ca="1" t="shared" si="0"/>
        <v>国内无查验</v>
      </c>
      <c r="O29" s="25">
        <v>46050</v>
      </c>
      <c r="P29" s="23"/>
      <c r="Q29" s="27">
        <f ca="1" t="shared" si="1"/>
        <v>131</v>
      </c>
      <c r="R29" s="30" t="s">
        <v>122</v>
      </c>
      <c r="T29" s="24"/>
      <c r="U29" s="8"/>
      <c r="V29" s="7" t="s">
        <v>46</v>
      </c>
    </row>
    <row r="30" customHeight="1" spans="1:23">
      <c r="A30" s="23" t="s">
        <v>100</v>
      </c>
      <c r="B30" s="23" t="s">
        <v>101</v>
      </c>
      <c r="C30" s="23" t="s">
        <v>123</v>
      </c>
      <c r="D30" s="7" t="s">
        <v>124</v>
      </c>
      <c r="E30" s="7">
        <v>224</v>
      </c>
      <c r="F30" s="24" t="s">
        <v>110</v>
      </c>
      <c r="G30" s="9">
        <v>46031</v>
      </c>
      <c r="H30" s="23" t="s">
        <v>39</v>
      </c>
      <c r="I30" s="24" t="s">
        <v>40</v>
      </c>
      <c r="J30" s="24"/>
      <c r="K30" s="24" t="s">
        <v>42</v>
      </c>
      <c r="L30" s="9"/>
      <c r="M30" s="23"/>
      <c r="N30" s="27" t="str">
        <f ca="1" t="shared" si="0"/>
        <v>国内无查验</v>
      </c>
      <c r="O30" s="25">
        <v>46050</v>
      </c>
      <c r="P30" s="23"/>
      <c r="Q30" s="27">
        <f ca="1" t="shared" si="1"/>
        <v>131</v>
      </c>
      <c r="R30" s="30"/>
      <c r="T30" s="24"/>
      <c r="U30" s="8"/>
      <c r="V30" s="7" t="s">
        <v>46</v>
      </c>
    </row>
    <row r="31" customHeight="1" spans="1:23">
      <c r="A31" s="23" t="s">
        <v>100</v>
      </c>
      <c r="B31" s="23" t="s">
        <v>101</v>
      </c>
      <c r="C31" s="23" t="s">
        <v>125</v>
      </c>
      <c r="D31" s="7" t="s">
        <v>126</v>
      </c>
      <c r="E31" s="7">
        <v>224</v>
      </c>
      <c r="F31" s="24" t="s">
        <v>110</v>
      </c>
      <c r="G31" s="9">
        <v>46031</v>
      </c>
      <c r="H31" s="23" t="s">
        <v>39</v>
      </c>
      <c r="I31" s="24" t="s">
        <v>40</v>
      </c>
      <c r="J31" s="24"/>
      <c r="K31" s="24" t="s">
        <v>42</v>
      </c>
      <c r="L31" s="9"/>
      <c r="M31" s="23"/>
      <c r="N31" s="27" t="str">
        <f ca="1" t="shared" si="0"/>
        <v>国内无查验</v>
      </c>
      <c r="O31" s="25">
        <v>46050</v>
      </c>
      <c r="P31" s="23"/>
      <c r="Q31" s="27">
        <f ca="1" t="shared" si="1"/>
        <v>131</v>
      </c>
      <c r="R31" s="30"/>
      <c r="T31" s="24"/>
      <c r="U31" s="8"/>
      <c r="V31" s="7" t="s">
        <v>46</v>
      </c>
    </row>
    <row r="32" customHeight="1" spans="1:23">
      <c r="A32" s="23" t="s">
        <v>100</v>
      </c>
      <c r="B32" s="23" t="s">
        <v>101</v>
      </c>
      <c r="C32" s="23" t="s">
        <v>127</v>
      </c>
      <c r="D32" s="7" t="s">
        <v>128</v>
      </c>
      <c r="E32" s="7">
        <v>224</v>
      </c>
      <c r="F32" s="24" t="s">
        <v>110</v>
      </c>
      <c r="G32" s="9">
        <v>46031</v>
      </c>
      <c r="H32" s="23" t="s">
        <v>39</v>
      </c>
      <c r="I32" s="24" t="s">
        <v>40</v>
      </c>
      <c r="J32" s="24"/>
      <c r="K32" s="24" t="s">
        <v>42</v>
      </c>
      <c r="L32" s="9"/>
      <c r="M32" s="23"/>
      <c r="N32" s="27" t="str">
        <f ca="1" t="shared" si="0"/>
        <v>国内无查验</v>
      </c>
      <c r="O32" s="25">
        <v>46050</v>
      </c>
      <c r="P32" s="23"/>
      <c r="Q32" s="27">
        <f ca="1" t="shared" si="1"/>
        <v>131</v>
      </c>
      <c r="R32" s="30"/>
      <c r="T32" s="24"/>
      <c r="U32" s="8"/>
      <c r="V32" s="7" t="s">
        <v>46</v>
      </c>
    </row>
    <row r="33" customHeight="1" spans="1:22">
      <c r="A33" s="23" t="s">
        <v>100</v>
      </c>
      <c r="B33" s="23" t="s">
        <v>101</v>
      </c>
      <c r="C33" s="23" t="s">
        <v>129</v>
      </c>
      <c r="D33" s="7" t="s">
        <v>130</v>
      </c>
      <c r="E33" s="7">
        <v>224</v>
      </c>
      <c r="F33" s="24" t="s">
        <v>110</v>
      </c>
      <c r="G33" s="9">
        <v>46031</v>
      </c>
      <c r="H33" s="23" t="s">
        <v>39</v>
      </c>
      <c r="I33" s="24" t="s">
        <v>40</v>
      </c>
      <c r="J33" s="24"/>
      <c r="K33" s="24" t="s">
        <v>42</v>
      </c>
      <c r="L33" s="9"/>
      <c r="M33" s="23"/>
      <c r="N33" s="27" t="str">
        <f ca="1" t="shared" si="0"/>
        <v>国内无查验</v>
      </c>
      <c r="O33" s="25">
        <v>46050</v>
      </c>
      <c r="P33" s="23"/>
      <c r="Q33" s="27">
        <f ca="1" t="shared" si="1"/>
        <v>131</v>
      </c>
      <c r="R33" s="30"/>
      <c r="T33" s="24"/>
      <c r="U33" s="8"/>
      <c r="V33" s="7" t="s">
        <v>46</v>
      </c>
    </row>
    <row r="34" customHeight="1" spans="1:22">
      <c r="A34" s="23" t="s">
        <v>100</v>
      </c>
      <c r="B34" s="23" t="s">
        <v>101</v>
      </c>
      <c r="C34" s="23" t="s">
        <v>131</v>
      </c>
      <c r="D34" s="7" t="s">
        <v>132</v>
      </c>
      <c r="E34" s="7">
        <v>48</v>
      </c>
      <c r="F34" s="24" t="s">
        <v>110</v>
      </c>
      <c r="G34" s="9">
        <v>46031</v>
      </c>
      <c r="H34" s="23" t="s">
        <v>39</v>
      </c>
      <c r="I34" s="24" t="s">
        <v>40</v>
      </c>
      <c r="J34" s="24"/>
      <c r="K34" s="24" t="s">
        <v>42</v>
      </c>
      <c r="L34" s="9"/>
      <c r="M34" s="23"/>
      <c r="N34" s="27" t="str">
        <f ca="1" t="shared" si="0"/>
        <v>国内无查验</v>
      </c>
      <c r="O34" s="25">
        <v>46050</v>
      </c>
      <c r="P34" s="23"/>
      <c r="Q34" s="27">
        <f ca="1" t="shared" si="1"/>
        <v>131</v>
      </c>
      <c r="R34" s="30"/>
      <c r="T34" s="24"/>
      <c r="U34" s="8"/>
      <c r="V34" s="7" t="s">
        <v>46</v>
      </c>
    </row>
    <row r="35" s="6" customFormat="1" ht="46.5" customHeight="1" spans="1:22">
      <c r="A35" s="34" t="s">
        <v>100</v>
      </c>
      <c r="B35" s="34" t="s">
        <v>133</v>
      </c>
      <c r="C35" s="34" t="s">
        <v>134</v>
      </c>
      <c r="D35" s="6" t="s">
        <v>135</v>
      </c>
      <c r="E35" s="6">
        <v>43</v>
      </c>
      <c r="F35" s="35" t="s">
        <v>136</v>
      </c>
      <c r="G35" s="36">
        <v>46079</v>
      </c>
      <c r="H35" s="34" t="s">
        <v>39</v>
      </c>
      <c r="I35" s="35" t="s">
        <v>40</v>
      </c>
      <c r="J35" s="35" t="s">
        <v>137</v>
      </c>
      <c r="K35" s="35" t="s">
        <v>31</v>
      </c>
      <c r="L35" s="36">
        <v>46083</v>
      </c>
      <c r="M35" s="28">
        <v>46094</v>
      </c>
      <c r="N35" s="27">
        <f ca="1" t="shared" ref="N35:N66" si="2">IF(AND(M35="",L35=""),"国内无查验",IF(M35="",TODAY()-L35,M35-L35))</f>
        <v>11</v>
      </c>
      <c r="O35" s="36"/>
      <c r="P35" s="28"/>
      <c r="Q35" s="27" t="str">
        <f ca="1" t="shared" ref="Q35:Q66" si="3">IF(AND(P35="",O35=""),"国外无查验",IF(P35="",TODAY()-O35,P35-O35))</f>
        <v>国外无查验</v>
      </c>
      <c r="R35" s="37" t="s">
        <v>138</v>
      </c>
      <c r="S35" s="38"/>
      <c r="T35" s="38"/>
    </row>
    <row r="36" s="6" customFormat="1" ht="52.5" customHeight="1" spans="1:22">
      <c r="A36" s="34" t="s">
        <v>100</v>
      </c>
      <c r="B36" s="34" t="s">
        <v>101</v>
      </c>
      <c r="C36" s="34" t="s">
        <v>139</v>
      </c>
      <c r="D36" s="6" t="s">
        <v>140</v>
      </c>
      <c r="E36" s="39">
        <v>1052</v>
      </c>
      <c r="F36" s="35" t="s">
        <v>141</v>
      </c>
      <c r="G36" s="36">
        <v>46080</v>
      </c>
      <c r="H36" s="34" t="s">
        <v>142</v>
      </c>
      <c r="I36" s="40" t="s">
        <v>143</v>
      </c>
      <c r="J36" s="35" t="s">
        <v>144</v>
      </c>
      <c r="K36" s="35" t="s">
        <v>31</v>
      </c>
      <c r="L36" s="36">
        <v>46084</v>
      </c>
      <c r="M36" s="28">
        <v>46084</v>
      </c>
      <c r="N36" s="27">
        <f ca="1" t="shared" si="2"/>
        <v>0</v>
      </c>
      <c r="O36" s="25">
        <v>46095</v>
      </c>
      <c r="P36" s="28">
        <v>46140</v>
      </c>
      <c r="Q36" s="27">
        <f ca="1" t="shared" si="3"/>
        <v>45</v>
      </c>
      <c r="R36" s="37" t="s">
        <v>145</v>
      </c>
      <c r="S36" s="37" t="s">
        <v>146</v>
      </c>
      <c r="T36" s="35" t="s">
        <v>147</v>
      </c>
      <c r="U36" s="41"/>
    </row>
    <row r="37" s="6" customFormat="1" ht="45" customHeight="1" spans="1:22">
      <c r="A37" s="34" t="s">
        <v>100</v>
      </c>
      <c r="B37" s="34" t="s">
        <v>101</v>
      </c>
      <c r="C37" s="34" t="s">
        <v>148</v>
      </c>
      <c r="D37" s="6" t="s">
        <v>149</v>
      </c>
      <c r="E37" s="39">
        <v>760</v>
      </c>
      <c r="F37" s="35" t="s">
        <v>141</v>
      </c>
      <c r="G37" s="36">
        <v>46080</v>
      </c>
      <c r="H37" s="34" t="s">
        <v>142</v>
      </c>
      <c r="I37" s="40" t="s">
        <v>143</v>
      </c>
      <c r="J37" s="35"/>
      <c r="K37" s="35" t="s">
        <v>31</v>
      </c>
      <c r="L37" s="36">
        <v>46084</v>
      </c>
      <c r="M37" s="28">
        <v>46084</v>
      </c>
      <c r="N37" s="27">
        <f ca="1" t="shared" si="2"/>
        <v>0</v>
      </c>
      <c r="O37" s="25">
        <v>46095</v>
      </c>
      <c r="P37" s="28">
        <v>46140</v>
      </c>
      <c r="Q37" s="27">
        <f ca="1" t="shared" si="3"/>
        <v>45</v>
      </c>
      <c r="R37" s="42"/>
      <c r="S37" s="43"/>
      <c r="T37" s="35"/>
    </row>
    <row r="38" s="6" customFormat="1" ht="66.75" customHeight="1" spans="1:22">
      <c r="A38" s="34" t="s">
        <v>100</v>
      </c>
      <c r="B38" s="34" t="s">
        <v>101</v>
      </c>
      <c r="C38" s="34" t="s">
        <v>150</v>
      </c>
      <c r="D38" s="6" t="s">
        <v>151</v>
      </c>
      <c r="E38" s="39">
        <v>810</v>
      </c>
      <c r="F38" s="35" t="s">
        <v>141</v>
      </c>
      <c r="G38" s="36">
        <v>46080</v>
      </c>
      <c r="H38" s="34" t="s">
        <v>142</v>
      </c>
      <c r="I38" s="40" t="s">
        <v>143</v>
      </c>
      <c r="J38" s="35"/>
      <c r="K38" s="35" t="s">
        <v>31</v>
      </c>
      <c r="L38" s="36">
        <v>46084</v>
      </c>
      <c r="M38" s="28">
        <v>46084</v>
      </c>
      <c r="N38" s="27">
        <f ca="1" t="shared" si="2"/>
        <v>0</v>
      </c>
      <c r="O38" s="25">
        <v>46095</v>
      </c>
      <c r="P38" s="28">
        <v>46140</v>
      </c>
      <c r="Q38" s="27">
        <f ca="1" t="shared" si="3"/>
        <v>45</v>
      </c>
      <c r="R38" s="42"/>
      <c r="S38" s="43"/>
      <c r="T38" s="35"/>
    </row>
    <row r="39" s="6" customFormat="1" ht="27" spans="1:22">
      <c r="A39" s="34" t="s">
        <v>100</v>
      </c>
      <c r="B39" s="34" t="s">
        <v>101</v>
      </c>
      <c r="C39" s="34" t="s">
        <v>152</v>
      </c>
      <c r="D39" s="34" t="s">
        <v>153</v>
      </c>
      <c r="E39" s="6">
        <v>102</v>
      </c>
      <c r="F39" s="35" t="s">
        <v>154</v>
      </c>
      <c r="G39" s="36">
        <v>46083</v>
      </c>
      <c r="H39" s="34" t="s">
        <v>39</v>
      </c>
      <c r="I39" s="35" t="s">
        <v>155</v>
      </c>
      <c r="J39" s="35" t="s">
        <v>156</v>
      </c>
      <c r="K39" s="24" t="s">
        <v>31</v>
      </c>
      <c r="L39" s="36"/>
      <c r="M39" s="28"/>
      <c r="N39" s="27" t="str">
        <f ca="1" t="shared" si="2"/>
        <v>国内无查验</v>
      </c>
      <c r="O39" s="25">
        <v>46088</v>
      </c>
      <c r="P39" s="28">
        <v>46094</v>
      </c>
      <c r="Q39" s="27">
        <f ca="1" t="shared" si="3"/>
        <v>6</v>
      </c>
      <c r="R39" s="37" t="s">
        <v>157</v>
      </c>
      <c r="S39" s="43"/>
      <c r="T39" s="43"/>
    </row>
    <row r="40" s="6" customFormat="1" ht="27" spans="1:22">
      <c r="A40" s="34" t="s">
        <v>100</v>
      </c>
      <c r="B40" s="34" t="s">
        <v>101</v>
      </c>
      <c r="C40" s="34" t="s">
        <v>158</v>
      </c>
      <c r="D40" s="34" t="s">
        <v>159</v>
      </c>
      <c r="E40" s="6">
        <v>29</v>
      </c>
      <c r="F40" s="35" t="s">
        <v>141</v>
      </c>
      <c r="G40" s="36">
        <v>46079</v>
      </c>
      <c r="H40" s="34" t="s">
        <v>39</v>
      </c>
      <c r="I40" s="35" t="s">
        <v>155</v>
      </c>
      <c r="J40" s="35" t="s">
        <v>156</v>
      </c>
      <c r="K40" s="24" t="s">
        <v>31</v>
      </c>
      <c r="L40" s="36"/>
      <c r="M40" s="28"/>
      <c r="N40" s="27" t="str">
        <f ca="1" t="shared" si="2"/>
        <v>国内无查验</v>
      </c>
      <c r="O40" s="25">
        <v>46086</v>
      </c>
      <c r="P40" s="28">
        <v>46094</v>
      </c>
      <c r="Q40" s="27">
        <f ca="1" t="shared" si="3"/>
        <v>8</v>
      </c>
      <c r="R40" s="37" t="s">
        <v>157</v>
      </c>
      <c r="S40" s="43"/>
      <c r="T40" s="43"/>
    </row>
    <row r="41" s="6" customFormat="1" ht="27.75" customHeight="1" spans="1:22">
      <c r="A41" s="34" t="s">
        <v>23</v>
      </c>
      <c r="B41" s="34" t="s">
        <v>24</v>
      </c>
      <c r="C41" s="34" t="s">
        <v>160</v>
      </c>
      <c r="D41" s="6" t="s">
        <v>161</v>
      </c>
      <c r="E41" s="6">
        <v>103</v>
      </c>
      <c r="F41" s="35" t="s">
        <v>162</v>
      </c>
      <c r="G41" s="36">
        <v>46080</v>
      </c>
      <c r="H41" s="34" t="s">
        <v>39</v>
      </c>
      <c r="I41" s="35" t="s">
        <v>155</v>
      </c>
      <c r="J41" s="35" t="s">
        <v>156</v>
      </c>
      <c r="K41" s="24" t="s">
        <v>31</v>
      </c>
      <c r="L41" s="36"/>
      <c r="M41" s="28"/>
      <c r="N41" s="27" t="str">
        <f ca="1" t="shared" si="2"/>
        <v>国内无查验</v>
      </c>
      <c r="O41" s="25">
        <v>46086</v>
      </c>
      <c r="P41" s="28">
        <v>46094</v>
      </c>
      <c r="Q41" s="27">
        <f ca="1" t="shared" si="3"/>
        <v>8</v>
      </c>
      <c r="R41" s="37" t="s">
        <v>163</v>
      </c>
      <c r="S41" s="43"/>
      <c r="T41" s="43"/>
    </row>
    <row r="42" s="6" customFormat="1" ht="27.75" customHeight="1" spans="1:22">
      <c r="A42" s="34" t="s">
        <v>23</v>
      </c>
      <c r="B42" s="34" t="s">
        <v>24</v>
      </c>
      <c r="C42" s="34" t="s">
        <v>164</v>
      </c>
      <c r="D42" s="6" t="s">
        <v>165</v>
      </c>
      <c r="E42" s="6">
        <v>103</v>
      </c>
      <c r="F42" s="35" t="s">
        <v>162</v>
      </c>
      <c r="G42" s="36">
        <v>46080</v>
      </c>
      <c r="H42" s="34" t="s">
        <v>39</v>
      </c>
      <c r="I42" s="35" t="s">
        <v>155</v>
      </c>
      <c r="J42" s="35"/>
      <c r="K42" s="24" t="s">
        <v>31</v>
      </c>
      <c r="L42" s="36"/>
      <c r="M42" s="28"/>
      <c r="N42" s="27" t="str">
        <f ca="1" t="shared" si="2"/>
        <v>国内无查验</v>
      </c>
      <c r="O42" s="25">
        <v>46086</v>
      </c>
      <c r="P42" s="28">
        <v>46094</v>
      </c>
      <c r="Q42" s="27">
        <f ca="1" t="shared" si="3"/>
        <v>8</v>
      </c>
      <c r="R42" s="44"/>
      <c r="S42" s="43"/>
      <c r="T42" s="43"/>
    </row>
    <row r="43" s="6" customFormat="1" ht="27.75" customHeight="1" spans="1:22">
      <c r="A43" s="34" t="s">
        <v>23</v>
      </c>
      <c r="B43" s="34" t="s">
        <v>24</v>
      </c>
      <c r="C43" s="34" t="s">
        <v>166</v>
      </c>
      <c r="D43" s="6" t="s">
        <v>167</v>
      </c>
      <c r="E43" s="6">
        <v>103</v>
      </c>
      <c r="F43" s="35" t="s">
        <v>162</v>
      </c>
      <c r="G43" s="36">
        <v>46080</v>
      </c>
      <c r="H43" s="34" t="s">
        <v>39</v>
      </c>
      <c r="I43" s="35" t="s">
        <v>155</v>
      </c>
      <c r="J43" s="35"/>
      <c r="K43" s="24" t="s">
        <v>31</v>
      </c>
      <c r="L43" s="36"/>
      <c r="M43" s="28"/>
      <c r="N43" s="27" t="str">
        <f ca="1" t="shared" si="2"/>
        <v>国内无查验</v>
      </c>
      <c r="O43" s="25">
        <v>46086</v>
      </c>
      <c r="P43" s="28">
        <v>46094</v>
      </c>
      <c r="Q43" s="27">
        <f ca="1" t="shared" si="3"/>
        <v>8</v>
      </c>
      <c r="R43" s="44"/>
      <c r="S43" s="43"/>
      <c r="T43" s="43"/>
    </row>
    <row r="44" s="6" customFormat="1" ht="27.75" customHeight="1" spans="1:22">
      <c r="A44" s="34" t="s">
        <v>23</v>
      </c>
      <c r="B44" s="34" t="s">
        <v>24</v>
      </c>
      <c r="C44" s="34" t="s">
        <v>168</v>
      </c>
      <c r="D44" s="6" t="s">
        <v>169</v>
      </c>
      <c r="E44" s="6">
        <v>103</v>
      </c>
      <c r="F44" s="35" t="s">
        <v>162</v>
      </c>
      <c r="G44" s="36">
        <v>46080</v>
      </c>
      <c r="H44" s="34" t="s">
        <v>39</v>
      </c>
      <c r="I44" s="35" t="s">
        <v>155</v>
      </c>
      <c r="J44" s="35"/>
      <c r="K44" s="24" t="s">
        <v>31</v>
      </c>
      <c r="L44" s="36"/>
      <c r="M44" s="28"/>
      <c r="N44" s="27" t="str">
        <f ca="1" t="shared" si="2"/>
        <v>国内无查验</v>
      </c>
      <c r="O44" s="25">
        <v>46086</v>
      </c>
      <c r="P44" s="28">
        <v>46094</v>
      </c>
      <c r="Q44" s="27">
        <f ca="1" t="shared" si="3"/>
        <v>8</v>
      </c>
      <c r="R44" s="44"/>
      <c r="S44" s="43"/>
      <c r="T44" s="43"/>
    </row>
    <row r="45" s="6" customFormat="1" ht="27.75" customHeight="1" spans="1:22">
      <c r="A45" s="34" t="s">
        <v>23</v>
      </c>
      <c r="B45" s="34" t="s">
        <v>24</v>
      </c>
      <c r="C45" s="34" t="s">
        <v>170</v>
      </c>
      <c r="D45" s="6" t="s">
        <v>171</v>
      </c>
      <c r="E45" s="6">
        <v>103</v>
      </c>
      <c r="F45" s="35" t="s">
        <v>162</v>
      </c>
      <c r="G45" s="36">
        <v>46080</v>
      </c>
      <c r="H45" s="34" t="s">
        <v>39</v>
      </c>
      <c r="I45" s="35" t="s">
        <v>155</v>
      </c>
      <c r="J45" s="35"/>
      <c r="K45" s="24" t="s">
        <v>31</v>
      </c>
      <c r="L45" s="36"/>
      <c r="M45" s="28"/>
      <c r="N45" s="27" t="str">
        <f ca="1" t="shared" si="2"/>
        <v>国内无查验</v>
      </c>
      <c r="O45" s="25">
        <v>46086</v>
      </c>
      <c r="P45" s="28">
        <v>46094</v>
      </c>
      <c r="Q45" s="27">
        <f ca="1" t="shared" si="3"/>
        <v>8</v>
      </c>
      <c r="R45" s="44"/>
      <c r="S45" s="43"/>
      <c r="T45" s="43"/>
    </row>
    <row r="46" s="6" customFormat="1" customHeight="1" spans="1:22">
      <c r="A46" s="34" t="s">
        <v>66</v>
      </c>
      <c r="B46" s="34" t="s">
        <v>67</v>
      </c>
      <c r="C46" s="34" t="s">
        <v>172</v>
      </c>
      <c r="D46" s="45" t="s">
        <v>173</v>
      </c>
      <c r="E46" s="6">
        <v>80</v>
      </c>
      <c r="F46" s="35" t="s">
        <v>174</v>
      </c>
      <c r="G46" s="36">
        <v>46078</v>
      </c>
      <c r="H46" s="34" t="s">
        <v>39</v>
      </c>
      <c r="I46" s="35" t="s">
        <v>155</v>
      </c>
      <c r="J46" s="35" t="s">
        <v>156</v>
      </c>
      <c r="K46" s="24" t="s">
        <v>31</v>
      </c>
      <c r="L46" s="36"/>
      <c r="M46" s="28"/>
      <c r="N46" s="27" t="str">
        <f ca="1" t="shared" si="2"/>
        <v>国内无查验</v>
      </c>
      <c r="O46" s="25">
        <v>46086</v>
      </c>
      <c r="P46" s="28">
        <v>46094</v>
      </c>
      <c r="Q46" s="27">
        <f ca="1" t="shared" si="3"/>
        <v>8</v>
      </c>
      <c r="R46" s="37" t="s">
        <v>163</v>
      </c>
      <c r="S46" s="43"/>
      <c r="T46" s="43"/>
    </row>
    <row r="47" s="6" customFormat="1" customHeight="1" spans="1:22">
      <c r="A47" s="34" t="s">
        <v>66</v>
      </c>
      <c r="B47" s="34" t="s">
        <v>67</v>
      </c>
      <c r="C47" s="34" t="s">
        <v>175</v>
      </c>
      <c r="D47" s="45" t="s">
        <v>176</v>
      </c>
      <c r="E47" s="6">
        <v>80</v>
      </c>
      <c r="F47" s="35" t="s">
        <v>174</v>
      </c>
      <c r="G47" s="36">
        <v>46078</v>
      </c>
      <c r="H47" s="34" t="s">
        <v>39</v>
      </c>
      <c r="I47" s="35" t="s">
        <v>155</v>
      </c>
      <c r="J47" s="35"/>
      <c r="K47" s="24" t="s">
        <v>31</v>
      </c>
      <c r="L47" s="36"/>
      <c r="M47" s="28"/>
      <c r="N47" s="27" t="str">
        <f ca="1" t="shared" si="2"/>
        <v>国内无查验</v>
      </c>
      <c r="O47" s="25">
        <v>46086</v>
      </c>
      <c r="P47" s="28">
        <v>46094</v>
      </c>
      <c r="Q47" s="27">
        <f ca="1" t="shared" si="3"/>
        <v>8</v>
      </c>
      <c r="R47" s="44"/>
      <c r="S47" s="43"/>
      <c r="T47" s="43"/>
    </row>
    <row r="48" s="6" customFormat="1" customHeight="1" spans="1:22">
      <c r="A48" s="34" t="s">
        <v>66</v>
      </c>
      <c r="B48" s="34" t="s">
        <v>67</v>
      </c>
      <c r="C48" s="34" t="s">
        <v>177</v>
      </c>
      <c r="D48" s="45" t="s">
        <v>178</v>
      </c>
      <c r="E48" s="6">
        <v>80</v>
      </c>
      <c r="F48" s="35" t="s">
        <v>174</v>
      </c>
      <c r="G48" s="36">
        <v>46078</v>
      </c>
      <c r="H48" s="34" t="s">
        <v>39</v>
      </c>
      <c r="I48" s="35" t="s">
        <v>155</v>
      </c>
      <c r="J48" s="35"/>
      <c r="K48" s="24" t="s">
        <v>31</v>
      </c>
      <c r="L48" s="36"/>
      <c r="M48" s="28"/>
      <c r="N48" s="27" t="str">
        <f ca="1" t="shared" si="2"/>
        <v>国内无查验</v>
      </c>
      <c r="O48" s="25">
        <v>46086</v>
      </c>
      <c r="P48" s="28">
        <v>46094</v>
      </c>
      <c r="Q48" s="27">
        <f ca="1" t="shared" si="3"/>
        <v>8</v>
      </c>
      <c r="R48" s="44"/>
      <c r="S48" s="43"/>
      <c r="T48" s="43"/>
    </row>
    <row r="49" s="6" customFormat="1" customHeight="1" spans="1:20">
      <c r="A49" s="34" t="s">
        <v>66</v>
      </c>
      <c r="B49" s="34" t="s">
        <v>67</v>
      </c>
      <c r="C49" s="34" t="s">
        <v>179</v>
      </c>
      <c r="D49" s="45" t="s">
        <v>180</v>
      </c>
      <c r="E49" s="6">
        <v>80</v>
      </c>
      <c r="F49" s="35" t="s">
        <v>174</v>
      </c>
      <c r="G49" s="36">
        <v>46078</v>
      </c>
      <c r="H49" s="34" t="s">
        <v>39</v>
      </c>
      <c r="I49" s="35" t="s">
        <v>155</v>
      </c>
      <c r="J49" s="35"/>
      <c r="K49" s="24" t="s">
        <v>31</v>
      </c>
      <c r="L49" s="36"/>
      <c r="M49" s="28"/>
      <c r="N49" s="27" t="str">
        <f ca="1" t="shared" si="2"/>
        <v>国内无查验</v>
      </c>
      <c r="O49" s="25">
        <v>46086</v>
      </c>
      <c r="P49" s="28">
        <v>46094</v>
      </c>
      <c r="Q49" s="27">
        <f ca="1" t="shared" si="3"/>
        <v>8</v>
      </c>
      <c r="R49" s="44"/>
      <c r="S49" s="43"/>
      <c r="T49" s="43"/>
    </row>
    <row r="50" s="6" customFormat="1" customHeight="1" spans="1:20">
      <c r="A50" s="34" t="s">
        <v>66</v>
      </c>
      <c r="B50" s="34" t="s">
        <v>67</v>
      </c>
      <c r="C50" s="34" t="s">
        <v>181</v>
      </c>
      <c r="D50" s="45" t="s">
        <v>182</v>
      </c>
      <c r="E50" s="6">
        <v>80</v>
      </c>
      <c r="F50" s="35" t="s">
        <v>174</v>
      </c>
      <c r="G50" s="36">
        <v>46078</v>
      </c>
      <c r="H50" s="34" t="s">
        <v>39</v>
      </c>
      <c r="I50" s="35" t="s">
        <v>155</v>
      </c>
      <c r="J50" s="35"/>
      <c r="K50" s="24" t="s">
        <v>31</v>
      </c>
      <c r="L50" s="36"/>
      <c r="M50" s="28"/>
      <c r="N50" s="27" t="str">
        <f ca="1" t="shared" si="2"/>
        <v>国内无查验</v>
      </c>
      <c r="O50" s="25">
        <v>46086</v>
      </c>
      <c r="P50" s="28">
        <v>46094</v>
      </c>
      <c r="Q50" s="27">
        <f ca="1" t="shared" si="3"/>
        <v>8</v>
      </c>
      <c r="R50" s="44"/>
      <c r="S50" s="43"/>
      <c r="T50" s="43"/>
    </row>
    <row r="51" s="6" customFormat="1" customHeight="1" spans="1:20">
      <c r="A51" s="34" t="s">
        <v>55</v>
      </c>
      <c r="B51" s="34" t="s">
        <v>56</v>
      </c>
      <c r="C51" s="34" t="s">
        <v>183</v>
      </c>
      <c r="D51" s="6" t="s">
        <v>184</v>
      </c>
      <c r="E51" s="6">
        <v>1010</v>
      </c>
      <c r="F51" s="35" t="s">
        <v>185</v>
      </c>
      <c r="G51" s="36">
        <v>46080</v>
      </c>
      <c r="H51" s="34" t="s">
        <v>39</v>
      </c>
      <c r="I51" s="35" t="s">
        <v>155</v>
      </c>
      <c r="J51" s="35" t="s">
        <v>156</v>
      </c>
      <c r="K51" s="24" t="s">
        <v>31</v>
      </c>
      <c r="L51" s="36"/>
      <c r="M51" s="28"/>
      <c r="N51" s="27" t="str">
        <f ca="1" t="shared" si="2"/>
        <v>国内无查验</v>
      </c>
      <c r="O51" s="25">
        <v>46086</v>
      </c>
      <c r="P51" s="28">
        <v>46094</v>
      </c>
      <c r="Q51" s="27">
        <f ca="1" t="shared" si="3"/>
        <v>8</v>
      </c>
      <c r="R51" s="37" t="s">
        <v>163</v>
      </c>
      <c r="S51" s="43"/>
      <c r="T51" s="43"/>
    </row>
    <row r="52" s="6" customFormat="1" customHeight="1" spans="1:20">
      <c r="A52" s="34" t="s">
        <v>55</v>
      </c>
      <c r="B52" s="34" t="s">
        <v>56</v>
      </c>
      <c r="C52" s="34" t="s">
        <v>186</v>
      </c>
      <c r="D52" s="6" t="s">
        <v>187</v>
      </c>
      <c r="E52" s="6">
        <v>1010</v>
      </c>
      <c r="F52" s="40"/>
      <c r="G52" s="36">
        <v>46080</v>
      </c>
      <c r="H52" s="34" t="s">
        <v>39</v>
      </c>
      <c r="I52" s="35" t="s">
        <v>155</v>
      </c>
      <c r="J52" s="40"/>
      <c r="K52" s="24" t="s">
        <v>31</v>
      </c>
      <c r="L52" s="36"/>
      <c r="M52" s="28"/>
      <c r="N52" s="27" t="str">
        <f ca="1" t="shared" si="2"/>
        <v>国内无查验</v>
      </c>
      <c r="O52" s="25">
        <v>46086</v>
      </c>
      <c r="P52" s="28">
        <v>46094</v>
      </c>
      <c r="Q52" s="27">
        <f ca="1" t="shared" si="3"/>
        <v>8</v>
      </c>
      <c r="R52" s="44"/>
      <c r="S52" s="43"/>
      <c r="T52" s="43"/>
    </row>
    <row r="53" s="6" customFormat="1" customHeight="1" spans="1:20">
      <c r="A53" s="34" t="s">
        <v>55</v>
      </c>
      <c r="B53" s="34" t="s">
        <v>56</v>
      </c>
      <c r="C53" s="34" t="s">
        <v>188</v>
      </c>
      <c r="D53" s="6" t="s">
        <v>189</v>
      </c>
      <c r="E53" s="6">
        <v>1010</v>
      </c>
      <c r="F53" s="40"/>
      <c r="G53" s="36">
        <v>46080</v>
      </c>
      <c r="H53" s="34" t="s">
        <v>39</v>
      </c>
      <c r="I53" s="35" t="s">
        <v>155</v>
      </c>
      <c r="J53" s="40"/>
      <c r="K53" s="24" t="s">
        <v>31</v>
      </c>
      <c r="L53" s="36"/>
      <c r="M53" s="28"/>
      <c r="N53" s="27" t="str">
        <f ca="1" t="shared" si="2"/>
        <v>国内无查验</v>
      </c>
      <c r="O53" s="25">
        <v>46086</v>
      </c>
      <c r="P53" s="28">
        <v>46094</v>
      </c>
      <c r="Q53" s="27">
        <f ca="1" t="shared" si="3"/>
        <v>8</v>
      </c>
      <c r="R53" s="44"/>
      <c r="S53" s="43"/>
      <c r="T53" s="43"/>
    </row>
    <row r="54" s="6" customFormat="1" customHeight="1" spans="1:20">
      <c r="A54" s="34" t="s">
        <v>55</v>
      </c>
      <c r="B54" s="34" t="s">
        <v>190</v>
      </c>
      <c r="C54" s="34" t="s">
        <v>191</v>
      </c>
      <c r="D54" s="34" t="s">
        <v>192</v>
      </c>
      <c r="E54" s="6">
        <v>755</v>
      </c>
      <c r="F54" s="35" t="s">
        <v>193</v>
      </c>
      <c r="G54" s="36">
        <v>46079</v>
      </c>
      <c r="H54" s="34" t="s">
        <v>59</v>
      </c>
      <c r="I54" s="35" t="s">
        <v>194</v>
      </c>
      <c r="J54" s="35" t="s">
        <v>195</v>
      </c>
      <c r="K54" s="35" t="s">
        <v>31</v>
      </c>
      <c r="L54" s="36">
        <v>46086</v>
      </c>
      <c r="M54" s="36">
        <v>46090</v>
      </c>
      <c r="N54" s="27">
        <f ca="1" t="shared" si="2"/>
        <v>4</v>
      </c>
      <c r="O54" s="36"/>
      <c r="P54" s="36"/>
      <c r="Q54" s="27" t="str">
        <f ca="1" t="shared" si="3"/>
        <v>国外无查验</v>
      </c>
      <c r="R54" s="37" t="s">
        <v>157</v>
      </c>
      <c r="S54" s="43"/>
      <c r="T54" s="43"/>
    </row>
    <row r="55" s="6" customFormat="1" customHeight="1" spans="1:20">
      <c r="A55" s="34" t="s">
        <v>55</v>
      </c>
      <c r="B55" s="34" t="s">
        <v>56</v>
      </c>
      <c r="C55" s="34" t="s">
        <v>196</v>
      </c>
      <c r="D55" s="6" t="s">
        <v>197</v>
      </c>
      <c r="E55" s="6">
        <v>4434</v>
      </c>
      <c r="F55" s="40" t="str">
        <f>_xlfn.DISPIMG("ID_41176A73349546F7AEC1D05FB64C5190",1)</f>
        <v>=DISPIMG("ID_41176A73349546F7AEC1D05FB64C5190",1)</v>
      </c>
      <c r="G55" s="36">
        <v>46087</v>
      </c>
      <c r="H55" s="34" t="s">
        <v>142</v>
      </c>
      <c r="I55" s="35" t="s">
        <v>198</v>
      </c>
      <c r="J55" s="35" t="s">
        <v>199</v>
      </c>
      <c r="K55" s="35" t="s">
        <v>31</v>
      </c>
      <c r="L55" s="36">
        <v>46090</v>
      </c>
      <c r="M55" s="36">
        <v>46091</v>
      </c>
      <c r="N55" s="27">
        <f ca="1" t="shared" si="2"/>
        <v>1</v>
      </c>
      <c r="O55" s="36"/>
      <c r="P55" s="36"/>
      <c r="Q55" s="27" t="str">
        <f ca="1" t="shared" si="3"/>
        <v>国外无查验</v>
      </c>
      <c r="R55" s="37" t="s">
        <v>157</v>
      </c>
      <c r="S55" s="43"/>
      <c r="T55" s="43"/>
    </row>
    <row r="56" s="6" customFormat="1" customHeight="1" spans="1:20">
      <c r="A56" s="34" t="s">
        <v>55</v>
      </c>
      <c r="B56" s="34" t="s">
        <v>56</v>
      </c>
      <c r="C56" s="34" t="s">
        <v>200</v>
      </c>
      <c r="D56" s="6" t="s">
        <v>201</v>
      </c>
      <c r="E56" s="6">
        <v>4434</v>
      </c>
      <c r="F56" s="40"/>
      <c r="G56" s="36">
        <v>46087</v>
      </c>
      <c r="H56" s="34" t="s">
        <v>142</v>
      </c>
      <c r="I56" s="35" t="s">
        <v>198</v>
      </c>
      <c r="J56" s="35" t="s">
        <v>199</v>
      </c>
      <c r="K56" s="35" t="s">
        <v>31</v>
      </c>
      <c r="L56" s="36">
        <v>46090</v>
      </c>
      <c r="M56" s="36">
        <v>46091</v>
      </c>
      <c r="N56" s="27">
        <f ca="1" t="shared" si="2"/>
        <v>1</v>
      </c>
      <c r="O56" s="36"/>
      <c r="P56" s="36"/>
      <c r="Q56" s="27" t="str">
        <f ca="1" t="shared" si="3"/>
        <v>国外无查验</v>
      </c>
      <c r="R56" s="37"/>
      <c r="S56" s="43"/>
      <c r="T56" s="43"/>
    </row>
    <row r="57" s="6" customFormat="1" customHeight="1" spans="1:20">
      <c r="A57" s="34" t="s">
        <v>55</v>
      </c>
      <c r="B57" s="34" t="s">
        <v>56</v>
      </c>
      <c r="C57" s="34" t="s">
        <v>202</v>
      </c>
      <c r="D57" s="6" t="s">
        <v>203</v>
      </c>
      <c r="E57" s="6">
        <v>460</v>
      </c>
      <c r="F57" s="40" t="str">
        <f>_xlfn.DISPIMG("ID_2379718950024BA6B5BCA86EB1A3CEA4",1)</f>
        <v>=DISPIMG("ID_2379718950024BA6B5BCA86EB1A3CEA4",1)</v>
      </c>
      <c r="G57" s="36">
        <v>46087</v>
      </c>
      <c r="H57" s="34" t="s">
        <v>142</v>
      </c>
      <c r="I57" s="35" t="s">
        <v>198</v>
      </c>
      <c r="J57" s="35" t="s">
        <v>199</v>
      </c>
      <c r="K57" s="35" t="s">
        <v>31</v>
      </c>
      <c r="L57" s="36">
        <v>46090</v>
      </c>
      <c r="M57" s="36">
        <v>46091</v>
      </c>
      <c r="N57" s="27">
        <f ca="1" t="shared" si="2"/>
        <v>1</v>
      </c>
      <c r="O57" s="36"/>
      <c r="P57" s="36"/>
      <c r="Q57" s="27" t="str">
        <f ca="1" t="shared" si="3"/>
        <v>国外无查验</v>
      </c>
      <c r="R57" s="37"/>
      <c r="S57" s="43"/>
      <c r="T57" s="43"/>
    </row>
    <row r="58" s="6" customFormat="1" customHeight="1" spans="1:20">
      <c r="A58" s="34" t="s">
        <v>55</v>
      </c>
      <c r="B58" s="34" t="s">
        <v>56</v>
      </c>
      <c r="C58" s="34" t="s">
        <v>204</v>
      </c>
      <c r="D58" s="6" t="s">
        <v>205</v>
      </c>
      <c r="E58" s="6">
        <v>460</v>
      </c>
      <c r="F58" s="40"/>
      <c r="G58" s="36">
        <v>46087</v>
      </c>
      <c r="H58" s="34" t="s">
        <v>142</v>
      </c>
      <c r="I58" s="35" t="s">
        <v>198</v>
      </c>
      <c r="J58" s="35" t="s">
        <v>199</v>
      </c>
      <c r="K58" s="35" t="s">
        <v>31</v>
      </c>
      <c r="L58" s="36">
        <v>46090</v>
      </c>
      <c r="M58" s="36">
        <v>46091</v>
      </c>
      <c r="N58" s="27">
        <f ca="1" t="shared" si="2"/>
        <v>1</v>
      </c>
      <c r="O58" s="36"/>
      <c r="P58" s="36"/>
      <c r="Q58" s="27" t="str">
        <f ca="1" t="shared" si="3"/>
        <v>国外无查验</v>
      </c>
      <c r="R58" s="37"/>
      <c r="S58" s="43"/>
      <c r="T58" s="43"/>
    </row>
    <row r="59" s="6" customFormat="1" customHeight="1" spans="1:20">
      <c r="A59" s="34" t="s">
        <v>100</v>
      </c>
      <c r="B59" s="34" t="s">
        <v>101</v>
      </c>
      <c r="C59" s="34" t="s">
        <v>206</v>
      </c>
      <c r="D59" s="6" t="s">
        <v>207</v>
      </c>
      <c r="E59" s="46">
        <v>2430</v>
      </c>
      <c r="F59" s="35" t="s">
        <v>154</v>
      </c>
      <c r="G59" s="36">
        <v>46084</v>
      </c>
      <c r="H59" s="34" t="s">
        <v>142</v>
      </c>
      <c r="I59" s="35" t="s">
        <v>143</v>
      </c>
      <c r="J59" s="35" t="s">
        <v>208</v>
      </c>
      <c r="K59" s="35" t="s">
        <v>31</v>
      </c>
      <c r="L59" s="28">
        <v>46091</v>
      </c>
      <c r="M59" s="28">
        <v>46092</v>
      </c>
      <c r="N59" s="27">
        <f ca="1" t="shared" si="2"/>
        <v>1</v>
      </c>
      <c r="O59" s="28"/>
      <c r="P59" s="28"/>
      <c r="Q59" s="27" t="str">
        <f ca="1" t="shared" si="3"/>
        <v>国外无查验</v>
      </c>
      <c r="R59" s="37" t="s">
        <v>157</v>
      </c>
      <c r="S59" s="43"/>
      <c r="T59" s="43"/>
    </row>
    <row r="60" s="6" customFormat="1" customHeight="1" spans="1:20">
      <c r="A60" s="34" t="s">
        <v>100</v>
      </c>
      <c r="B60" s="34" t="s">
        <v>101</v>
      </c>
      <c r="C60" s="34" t="s">
        <v>209</v>
      </c>
      <c r="D60" s="6" t="s">
        <v>210</v>
      </c>
      <c r="E60" s="46">
        <v>3578</v>
      </c>
      <c r="F60" s="35" t="s">
        <v>154</v>
      </c>
      <c r="G60" s="36">
        <v>46084</v>
      </c>
      <c r="H60" s="34" t="s">
        <v>142</v>
      </c>
      <c r="I60" s="35" t="s">
        <v>143</v>
      </c>
      <c r="J60" s="35"/>
      <c r="K60" s="35" t="s">
        <v>31</v>
      </c>
      <c r="L60" s="28">
        <v>46091</v>
      </c>
      <c r="M60" s="28">
        <v>46092</v>
      </c>
      <c r="N60" s="27">
        <f ca="1" t="shared" si="2"/>
        <v>1</v>
      </c>
      <c r="O60" s="28"/>
      <c r="P60" s="28"/>
      <c r="Q60" s="27" t="str">
        <f ca="1" t="shared" si="3"/>
        <v>国外无查验</v>
      </c>
      <c r="R60" s="37"/>
      <c r="S60" s="43"/>
      <c r="T60" s="43"/>
    </row>
    <row r="61" s="6" customFormat="1" customHeight="1" spans="1:20">
      <c r="A61" s="34" t="s">
        <v>100</v>
      </c>
      <c r="B61" s="34" t="s">
        <v>101</v>
      </c>
      <c r="C61" s="34" t="s">
        <v>211</v>
      </c>
      <c r="D61" s="6" t="s">
        <v>212</v>
      </c>
      <c r="E61" s="46">
        <v>2256</v>
      </c>
      <c r="F61" s="35" t="s">
        <v>154</v>
      </c>
      <c r="G61" s="36">
        <v>46084</v>
      </c>
      <c r="H61" s="34" t="s">
        <v>142</v>
      </c>
      <c r="I61" s="35" t="s">
        <v>143</v>
      </c>
      <c r="J61" s="35"/>
      <c r="K61" s="35" t="s">
        <v>31</v>
      </c>
      <c r="L61" s="28">
        <v>46091</v>
      </c>
      <c r="M61" s="28">
        <v>46092</v>
      </c>
      <c r="N61" s="27">
        <f ca="1" t="shared" si="2"/>
        <v>1</v>
      </c>
      <c r="O61" s="28"/>
      <c r="P61" s="28"/>
      <c r="Q61" s="27" t="str">
        <f ca="1" t="shared" si="3"/>
        <v>国外无查验</v>
      </c>
      <c r="R61" s="37"/>
      <c r="S61" s="43"/>
      <c r="T61" s="43"/>
    </row>
    <row r="62" customHeight="1" spans="1:20">
      <c r="A62" s="23" t="s">
        <v>100</v>
      </c>
      <c r="B62" s="34" t="s">
        <v>213</v>
      </c>
      <c r="C62" s="34" t="s">
        <v>214</v>
      </c>
      <c r="D62" s="23" t="s">
        <v>215</v>
      </c>
      <c r="E62" s="7">
        <v>1216</v>
      </c>
      <c r="F62" s="24" t="s">
        <v>216</v>
      </c>
      <c r="G62" s="36">
        <v>46094</v>
      </c>
      <c r="H62" s="23" t="s">
        <v>59</v>
      </c>
      <c r="I62" s="24" t="s">
        <v>217</v>
      </c>
      <c r="J62" s="24" t="s">
        <v>218</v>
      </c>
      <c r="K62" s="24" t="s">
        <v>31</v>
      </c>
      <c r="L62" s="28">
        <v>46099</v>
      </c>
      <c r="M62" s="28">
        <v>46099</v>
      </c>
      <c r="N62" s="27">
        <f ca="1" t="shared" si="2"/>
        <v>0</v>
      </c>
      <c r="O62" s="28"/>
      <c r="P62" s="28"/>
      <c r="Q62" s="27" t="str">
        <f ca="1" t="shared" si="3"/>
        <v>国外无查验</v>
      </c>
      <c r="R62" s="29" t="s">
        <v>157</v>
      </c>
    </row>
    <row r="63" ht="27.75" customHeight="1" spans="1:20">
      <c r="A63" s="34" t="s">
        <v>23</v>
      </c>
      <c r="B63" s="34" t="s">
        <v>24</v>
      </c>
      <c r="C63" s="34" t="s">
        <v>219</v>
      </c>
      <c r="D63" s="7" t="s">
        <v>220</v>
      </c>
      <c r="E63" s="7">
        <v>317</v>
      </c>
      <c r="F63" s="24" t="s">
        <v>221</v>
      </c>
      <c r="G63" s="36">
        <v>46091</v>
      </c>
      <c r="H63" s="34" t="s">
        <v>142</v>
      </c>
      <c r="I63" s="24" t="s">
        <v>222</v>
      </c>
      <c r="J63" s="24" t="s">
        <v>208</v>
      </c>
      <c r="K63" s="24" t="s">
        <v>31</v>
      </c>
      <c r="L63" s="28">
        <v>46099</v>
      </c>
      <c r="M63" s="28">
        <v>46099</v>
      </c>
      <c r="N63" s="27">
        <f ca="1" t="shared" si="2"/>
        <v>0</v>
      </c>
      <c r="O63" s="28"/>
      <c r="P63" s="28"/>
      <c r="Q63" s="27" t="str">
        <f ca="1" t="shared" si="3"/>
        <v>国外无查验</v>
      </c>
      <c r="R63" s="37" t="s">
        <v>157</v>
      </c>
    </row>
    <row r="64" ht="27.75" customHeight="1" spans="1:20">
      <c r="A64" s="34" t="s">
        <v>23</v>
      </c>
      <c r="B64" s="34" t="s">
        <v>24</v>
      </c>
      <c r="C64" s="34" t="s">
        <v>223</v>
      </c>
      <c r="D64" s="7" t="s">
        <v>224</v>
      </c>
      <c r="E64" s="7">
        <v>317</v>
      </c>
      <c r="F64" s="24" t="s">
        <v>221</v>
      </c>
      <c r="G64" s="36">
        <v>46091</v>
      </c>
      <c r="H64" s="34" t="s">
        <v>142</v>
      </c>
      <c r="I64" s="24" t="s">
        <v>222</v>
      </c>
      <c r="J64" s="24" t="s">
        <v>208</v>
      </c>
      <c r="K64" s="24" t="s">
        <v>31</v>
      </c>
      <c r="L64" s="28">
        <v>46099</v>
      </c>
      <c r="M64" s="28">
        <v>46099</v>
      </c>
      <c r="N64" s="27">
        <f ca="1" t="shared" si="2"/>
        <v>0</v>
      </c>
      <c r="O64" s="28"/>
      <c r="P64" s="28"/>
      <c r="Q64" s="27" t="str">
        <f ca="1" t="shared" si="3"/>
        <v>国外无查验</v>
      </c>
      <c r="R64" s="37" t="s">
        <v>157</v>
      </c>
    </row>
    <row r="65" ht="27.75" customHeight="1" spans="1:22">
      <c r="A65" s="34" t="s">
        <v>23</v>
      </c>
      <c r="B65" s="34" t="s">
        <v>24</v>
      </c>
      <c r="C65" s="34" t="s">
        <v>225</v>
      </c>
      <c r="D65" s="7" t="s">
        <v>226</v>
      </c>
      <c r="E65" s="7">
        <v>317</v>
      </c>
      <c r="F65" s="24" t="s">
        <v>221</v>
      </c>
      <c r="G65" s="36">
        <v>46091</v>
      </c>
      <c r="H65" s="34" t="s">
        <v>142</v>
      </c>
      <c r="I65" s="24" t="s">
        <v>222</v>
      </c>
      <c r="J65" s="24" t="s">
        <v>208</v>
      </c>
      <c r="K65" s="24" t="s">
        <v>31</v>
      </c>
      <c r="L65" s="28">
        <v>46099</v>
      </c>
      <c r="M65" s="28">
        <v>46099</v>
      </c>
      <c r="N65" s="27">
        <f ca="1" t="shared" si="2"/>
        <v>0</v>
      </c>
      <c r="O65" s="28"/>
      <c r="P65" s="28"/>
      <c r="Q65" s="27" t="str">
        <f ca="1" t="shared" si="3"/>
        <v>国外无查验</v>
      </c>
      <c r="R65" s="37" t="s">
        <v>157</v>
      </c>
    </row>
    <row r="66" ht="27.75" customHeight="1" spans="1:22">
      <c r="A66" s="34" t="s">
        <v>23</v>
      </c>
      <c r="B66" s="34" t="s">
        <v>24</v>
      </c>
      <c r="C66" s="34" t="s">
        <v>227</v>
      </c>
      <c r="D66" s="7" t="s">
        <v>228</v>
      </c>
      <c r="E66" s="7">
        <v>317</v>
      </c>
      <c r="F66" s="24" t="s">
        <v>221</v>
      </c>
      <c r="G66" s="36">
        <v>46091</v>
      </c>
      <c r="H66" s="34" t="s">
        <v>142</v>
      </c>
      <c r="I66" s="24" t="s">
        <v>222</v>
      </c>
      <c r="J66" s="24" t="s">
        <v>208</v>
      </c>
      <c r="K66" s="24" t="s">
        <v>31</v>
      </c>
      <c r="L66" s="28">
        <v>46099</v>
      </c>
      <c r="M66" s="28">
        <v>46099</v>
      </c>
      <c r="N66" s="27">
        <f ca="1" t="shared" si="2"/>
        <v>0</v>
      </c>
      <c r="O66" s="28"/>
      <c r="P66" s="28"/>
      <c r="Q66" s="27" t="str">
        <f ca="1" t="shared" si="3"/>
        <v>国外无查验</v>
      </c>
      <c r="R66" s="37" t="s">
        <v>157</v>
      </c>
    </row>
    <row r="67" ht="27.75" customHeight="1" spans="1:22">
      <c r="A67" s="34" t="s">
        <v>23</v>
      </c>
      <c r="B67" s="34" t="s">
        <v>24</v>
      </c>
      <c r="C67" s="34" t="s">
        <v>229</v>
      </c>
      <c r="D67" s="7" t="s">
        <v>230</v>
      </c>
      <c r="E67" s="7">
        <v>317</v>
      </c>
      <c r="F67" s="24" t="s">
        <v>221</v>
      </c>
      <c r="G67" s="36">
        <v>46091</v>
      </c>
      <c r="H67" s="34" t="s">
        <v>142</v>
      </c>
      <c r="I67" s="24" t="s">
        <v>222</v>
      </c>
      <c r="J67" s="24" t="s">
        <v>208</v>
      </c>
      <c r="K67" s="24" t="s">
        <v>31</v>
      </c>
      <c r="L67" s="28">
        <v>46099</v>
      </c>
      <c r="M67" s="28">
        <v>46099</v>
      </c>
      <c r="N67" s="27">
        <f ca="1" t="shared" ref="N67:N98" si="4">IF(AND(M67="",L67=""),"国内无查验",IF(M67="",TODAY()-L67,M67-L67))</f>
        <v>0</v>
      </c>
      <c r="O67" s="28"/>
      <c r="P67" s="28"/>
      <c r="Q67" s="27" t="str">
        <f ca="1" t="shared" ref="Q67:Q98" si="5">IF(AND(P67="",O67=""),"国外无查验",IF(P67="",TODAY()-O67,P67-O67))</f>
        <v>国外无查验</v>
      </c>
      <c r="R67" s="37" t="s">
        <v>157</v>
      </c>
    </row>
    <row r="68" customHeight="1" spans="1:22">
      <c r="A68" s="23" t="s">
        <v>100</v>
      </c>
      <c r="B68" s="34" t="s">
        <v>101</v>
      </c>
      <c r="C68" s="34"/>
      <c r="D68" s="7" t="s">
        <v>231</v>
      </c>
      <c r="E68" s="7">
        <v>1088</v>
      </c>
      <c r="F68" s="24" t="s">
        <v>232</v>
      </c>
      <c r="G68" s="36">
        <v>46099</v>
      </c>
      <c r="H68" s="23" t="s">
        <v>28</v>
      </c>
      <c r="I68" s="24" t="s">
        <v>233</v>
      </c>
      <c r="J68" s="24" t="s">
        <v>234</v>
      </c>
      <c r="K68" s="24" t="s">
        <v>31</v>
      </c>
      <c r="L68" s="28">
        <v>46101</v>
      </c>
      <c r="M68" s="28">
        <v>46101</v>
      </c>
      <c r="N68" s="27">
        <f ca="1" t="shared" si="4"/>
        <v>0</v>
      </c>
      <c r="O68" s="28"/>
      <c r="P68" s="28"/>
      <c r="Q68" s="27" t="str">
        <f ca="1" t="shared" si="5"/>
        <v>国外无查验</v>
      </c>
      <c r="R68" s="37" t="s">
        <v>157</v>
      </c>
    </row>
    <row r="69" ht="27" spans="1:22">
      <c r="A69" s="23" t="s">
        <v>100</v>
      </c>
      <c r="B69" s="34" t="s">
        <v>101</v>
      </c>
      <c r="C69" s="34"/>
      <c r="D69" s="7" t="s">
        <v>235</v>
      </c>
      <c r="E69" s="7">
        <v>1142</v>
      </c>
      <c r="F69" s="24" t="s">
        <v>232</v>
      </c>
      <c r="G69" s="36">
        <v>46099</v>
      </c>
      <c r="H69" s="23" t="s">
        <v>28</v>
      </c>
      <c r="I69" s="24" t="s">
        <v>233</v>
      </c>
      <c r="J69" s="24" t="s">
        <v>234</v>
      </c>
      <c r="K69" s="24" t="s">
        <v>31</v>
      </c>
      <c r="L69" s="28">
        <v>46101</v>
      </c>
      <c r="M69" s="28">
        <v>46101</v>
      </c>
      <c r="N69" s="27">
        <f ca="1" t="shared" si="4"/>
        <v>0</v>
      </c>
      <c r="O69" s="28"/>
      <c r="P69" s="28"/>
      <c r="Q69" s="27" t="str">
        <f ca="1" t="shared" si="5"/>
        <v>国外无查验</v>
      </c>
      <c r="R69" s="37" t="s">
        <v>157</v>
      </c>
    </row>
    <row r="70" ht="27" spans="1:22">
      <c r="A70" s="23" t="s">
        <v>100</v>
      </c>
      <c r="B70" s="34" t="s">
        <v>101</v>
      </c>
      <c r="C70" s="34"/>
      <c r="D70" s="7" t="s">
        <v>236</v>
      </c>
      <c r="E70" s="7">
        <v>818</v>
      </c>
      <c r="F70" s="24" t="s">
        <v>232</v>
      </c>
      <c r="G70" s="36">
        <v>46099</v>
      </c>
      <c r="H70" s="23" t="s">
        <v>28</v>
      </c>
      <c r="I70" s="24" t="s">
        <v>233</v>
      </c>
      <c r="J70" s="24" t="s">
        <v>234</v>
      </c>
      <c r="K70" s="24" t="s">
        <v>31</v>
      </c>
      <c r="L70" s="28">
        <v>46101</v>
      </c>
      <c r="M70" s="28">
        <v>46101</v>
      </c>
      <c r="N70" s="27">
        <f ca="1" t="shared" si="4"/>
        <v>0</v>
      </c>
      <c r="O70" s="28"/>
      <c r="P70" s="28"/>
      <c r="Q70" s="27" t="str">
        <f ca="1" t="shared" si="5"/>
        <v>国外无查验</v>
      </c>
      <c r="R70" s="37" t="s">
        <v>157</v>
      </c>
    </row>
    <row r="71" ht="27" spans="1:22">
      <c r="A71" s="23" t="s">
        <v>100</v>
      </c>
      <c r="B71" s="34" t="s">
        <v>101</v>
      </c>
      <c r="C71" s="34"/>
      <c r="D71" s="7" t="s">
        <v>237</v>
      </c>
      <c r="E71" s="7">
        <v>1142</v>
      </c>
      <c r="F71" s="24" t="s">
        <v>232</v>
      </c>
      <c r="G71" s="36">
        <v>46099</v>
      </c>
      <c r="H71" s="23" t="s">
        <v>28</v>
      </c>
      <c r="I71" s="24" t="s">
        <v>233</v>
      </c>
      <c r="J71" s="24" t="s">
        <v>234</v>
      </c>
      <c r="K71" s="24" t="s">
        <v>31</v>
      </c>
      <c r="L71" s="28">
        <v>46101</v>
      </c>
      <c r="M71" s="28">
        <v>46101</v>
      </c>
      <c r="N71" s="27">
        <f ca="1" t="shared" si="4"/>
        <v>0</v>
      </c>
      <c r="O71" s="28"/>
      <c r="P71" s="28"/>
      <c r="Q71" s="27" t="str">
        <f ca="1" t="shared" si="5"/>
        <v>国外无查验</v>
      </c>
      <c r="R71" s="37" t="s">
        <v>157</v>
      </c>
    </row>
    <row r="72" ht="27" spans="1:22">
      <c r="A72" s="23" t="s">
        <v>100</v>
      </c>
      <c r="B72" s="34" t="s">
        <v>101</v>
      </c>
      <c r="C72" s="34"/>
      <c r="D72" s="7" t="s">
        <v>238</v>
      </c>
      <c r="E72" s="7">
        <v>926</v>
      </c>
      <c r="F72" s="24" t="s">
        <v>232</v>
      </c>
      <c r="G72" s="36">
        <v>46099</v>
      </c>
      <c r="H72" s="23" t="s">
        <v>28</v>
      </c>
      <c r="I72" s="24" t="s">
        <v>233</v>
      </c>
      <c r="J72" s="24" t="s">
        <v>234</v>
      </c>
      <c r="K72" s="24" t="s">
        <v>31</v>
      </c>
      <c r="L72" s="28">
        <v>46101</v>
      </c>
      <c r="M72" s="28">
        <v>46101</v>
      </c>
      <c r="N72" s="27">
        <f ca="1" t="shared" si="4"/>
        <v>0</v>
      </c>
      <c r="O72" s="28"/>
      <c r="P72" s="28"/>
      <c r="Q72" s="27" t="str">
        <f ca="1" t="shared" si="5"/>
        <v>国外无查验</v>
      </c>
      <c r="R72" s="37" t="s">
        <v>157</v>
      </c>
    </row>
    <row r="73" ht="27" spans="1:22">
      <c r="A73" s="23" t="s">
        <v>100</v>
      </c>
      <c r="B73" s="34" t="s">
        <v>101</v>
      </c>
      <c r="C73" s="34" t="s">
        <v>239</v>
      </c>
      <c r="D73" s="7" t="s">
        <v>240</v>
      </c>
      <c r="E73" s="7">
        <v>168</v>
      </c>
      <c r="F73" s="24" t="s">
        <v>241</v>
      </c>
      <c r="G73" s="36">
        <v>46099</v>
      </c>
      <c r="H73" s="23" t="s">
        <v>28</v>
      </c>
      <c r="I73" s="24" t="s">
        <v>233</v>
      </c>
      <c r="J73" s="24" t="s">
        <v>234</v>
      </c>
      <c r="K73" s="24" t="s">
        <v>31</v>
      </c>
      <c r="L73" s="28">
        <v>46101</v>
      </c>
      <c r="M73" s="28">
        <v>46101</v>
      </c>
      <c r="N73" s="27">
        <f ca="1" t="shared" si="4"/>
        <v>0</v>
      </c>
      <c r="O73" s="28"/>
      <c r="P73" s="28"/>
      <c r="Q73" s="27" t="str">
        <f ca="1" t="shared" si="5"/>
        <v>国外无查验</v>
      </c>
      <c r="R73" s="37" t="s">
        <v>157</v>
      </c>
    </row>
    <row r="74" customHeight="1" spans="1:22">
      <c r="A74" s="23" t="s">
        <v>100</v>
      </c>
      <c r="B74" s="34" t="s">
        <v>101</v>
      </c>
      <c r="C74" s="34" t="s">
        <v>242</v>
      </c>
      <c r="D74" s="7" t="s">
        <v>243</v>
      </c>
      <c r="E74" s="7">
        <v>2870</v>
      </c>
      <c r="F74" s="24" t="s">
        <v>244</v>
      </c>
      <c r="G74" s="28">
        <v>46101</v>
      </c>
      <c r="H74" s="34" t="s">
        <v>142</v>
      </c>
      <c r="I74" s="35" t="s">
        <v>143</v>
      </c>
      <c r="J74" s="24" t="s">
        <v>208</v>
      </c>
      <c r="K74" s="24" t="s">
        <v>31</v>
      </c>
      <c r="L74" s="28">
        <v>46105</v>
      </c>
      <c r="M74" s="28">
        <v>46106</v>
      </c>
      <c r="N74" s="27">
        <f ca="1" t="shared" si="4"/>
        <v>1</v>
      </c>
      <c r="O74" s="28"/>
      <c r="P74" s="28"/>
      <c r="Q74" s="27" t="str">
        <f ca="1" t="shared" si="5"/>
        <v>国外无查验</v>
      </c>
      <c r="R74" s="37" t="s">
        <v>157</v>
      </c>
    </row>
    <row r="75" customHeight="1" spans="1:22">
      <c r="A75" s="23" t="s">
        <v>100</v>
      </c>
      <c r="B75" s="34" t="s">
        <v>101</v>
      </c>
      <c r="C75" s="34" t="s">
        <v>245</v>
      </c>
      <c r="D75" s="23" t="s">
        <v>246</v>
      </c>
      <c r="E75" s="7">
        <v>2870</v>
      </c>
      <c r="F75" s="24" t="s">
        <v>244</v>
      </c>
      <c r="G75" s="28">
        <v>46101</v>
      </c>
      <c r="H75" s="34" t="s">
        <v>142</v>
      </c>
      <c r="I75" s="35" t="s">
        <v>143</v>
      </c>
      <c r="J75" s="24" t="s">
        <v>208</v>
      </c>
      <c r="K75" s="24" t="s">
        <v>31</v>
      </c>
      <c r="L75" s="28">
        <v>46105</v>
      </c>
      <c r="M75" s="28">
        <v>46106</v>
      </c>
      <c r="N75" s="27">
        <f ca="1" t="shared" si="4"/>
        <v>1</v>
      </c>
      <c r="O75" s="28"/>
      <c r="P75" s="28"/>
      <c r="Q75" s="27" t="str">
        <f ca="1" t="shared" si="5"/>
        <v>国外无查验</v>
      </c>
      <c r="R75" s="37" t="s">
        <v>157</v>
      </c>
    </row>
    <row r="76" ht="92" customHeight="1" spans="1:22">
      <c r="A76" s="23" t="s">
        <v>100</v>
      </c>
      <c r="B76" s="34" t="s">
        <v>101</v>
      </c>
      <c r="C76" s="34" t="s">
        <v>247</v>
      </c>
      <c r="D76" s="34" t="s">
        <v>248</v>
      </c>
      <c r="E76" s="6">
        <v>2870</v>
      </c>
      <c r="F76" s="24" t="s">
        <v>244</v>
      </c>
      <c r="G76" s="28">
        <v>46101</v>
      </c>
      <c r="H76" s="34" t="s">
        <v>142</v>
      </c>
      <c r="I76" s="35" t="s">
        <v>143</v>
      </c>
      <c r="J76" s="24" t="s">
        <v>249</v>
      </c>
      <c r="K76" s="24" t="s">
        <v>42</v>
      </c>
      <c r="L76" s="28">
        <v>46105</v>
      </c>
      <c r="M76" s="47">
        <v>46106</v>
      </c>
      <c r="N76" s="27">
        <f ca="1" t="shared" si="4"/>
        <v>1</v>
      </c>
      <c r="O76" s="25">
        <v>46119</v>
      </c>
      <c r="P76" s="23"/>
      <c r="Q76" s="27">
        <f ca="1" t="shared" si="5"/>
        <v>62</v>
      </c>
      <c r="R76" s="48" t="s">
        <v>250</v>
      </c>
      <c r="V76" s="23" t="s">
        <v>46</v>
      </c>
    </row>
    <row r="77" customHeight="1" spans="1:22">
      <c r="A77" s="23" t="s">
        <v>55</v>
      </c>
      <c r="B77" s="34" t="s">
        <v>56</v>
      </c>
      <c r="C77" s="34" t="s">
        <v>251</v>
      </c>
      <c r="D77" s="7" t="s">
        <v>252</v>
      </c>
      <c r="E77" s="7">
        <v>212</v>
      </c>
      <c r="F77" s="8" t="str">
        <f>_xlfn.DISPIMG("ID_934C0F4E693C44B782439CF3FF9BD46B",1)</f>
        <v>=DISPIMG("ID_934C0F4E693C44B782439CF3FF9BD46B",1)</v>
      </c>
      <c r="G77" s="9">
        <v>46100</v>
      </c>
      <c r="H77" s="34" t="s">
        <v>142</v>
      </c>
      <c r="I77" s="8" t="s">
        <v>253</v>
      </c>
      <c r="J77" s="24" t="s">
        <v>254</v>
      </c>
      <c r="K77" s="35" t="s">
        <v>31</v>
      </c>
      <c r="L77" s="28"/>
      <c r="M77" s="49"/>
      <c r="N77" s="27" t="str">
        <f ca="1" t="shared" si="4"/>
        <v>国内无查验</v>
      </c>
      <c r="O77" s="25">
        <v>46105</v>
      </c>
      <c r="P77" s="28">
        <v>46125</v>
      </c>
      <c r="Q77" s="27">
        <f ca="1" t="shared" si="5"/>
        <v>20</v>
      </c>
      <c r="R77" s="29" t="s">
        <v>157</v>
      </c>
    </row>
    <row r="78" customHeight="1" spans="1:22">
      <c r="A78" s="23" t="s">
        <v>55</v>
      </c>
      <c r="B78" s="34" t="s">
        <v>56</v>
      </c>
      <c r="C78" s="34" t="s">
        <v>255</v>
      </c>
      <c r="D78" s="7" t="s">
        <v>256</v>
      </c>
      <c r="E78" s="7">
        <v>212</v>
      </c>
      <c r="G78" s="9">
        <v>46100</v>
      </c>
      <c r="H78" s="34" t="s">
        <v>142</v>
      </c>
      <c r="I78" s="8" t="s">
        <v>253</v>
      </c>
      <c r="J78" s="24"/>
      <c r="K78" s="35" t="s">
        <v>31</v>
      </c>
      <c r="L78" s="28"/>
      <c r="M78" s="49"/>
      <c r="N78" s="27" t="str">
        <f ca="1" t="shared" si="4"/>
        <v>国内无查验</v>
      </c>
      <c r="O78" s="25">
        <v>46105</v>
      </c>
      <c r="P78" s="28">
        <v>46125</v>
      </c>
      <c r="Q78" s="27">
        <f ca="1" t="shared" si="5"/>
        <v>20</v>
      </c>
      <c r="R78" s="29"/>
    </row>
    <row r="79" customHeight="1" spans="1:22">
      <c r="A79" s="23" t="s">
        <v>55</v>
      </c>
      <c r="B79" s="34" t="s">
        <v>56</v>
      </c>
      <c r="C79" s="34" t="s">
        <v>257</v>
      </c>
      <c r="D79" s="7" t="s">
        <v>258</v>
      </c>
      <c r="E79" s="7">
        <v>212</v>
      </c>
      <c r="G79" s="9">
        <v>46100</v>
      </c>
      <c r="H79" s="34" t="s">
        <v>142</v>
      </c>
      <c r="I79" s="8" t="s">
        <v>253</v>
      </c>
      <c r="J79" s="24"/>
      <c r="K79" s="35" t="s">
        <v>31</v>
      </c>
      <c r="L79" s="28"/>
      <c r="M79" s="49"/>
      <c r="N79" s="27" t="str">
        <f ca="1" t="shared" si="4"/>
        <v>国内无查验</v>
      </c>
      <c r="O79" s="25">
        <v>46105</v>
      </c>
      <c r="P79" s="28">
        <v>46125</v>
      </c>
      <c r="Q79" s="27">
        <f ca="1" t="shared" si="5"/>
        <v>20</v>
      </c>
      <c r="R79" s="29"/>
    </row>
    <row r="80" customHeight="1" spans="1:22">
      <c r="A80" s="23" t="s">
        <v>55</v>
      </c>
      <c r="B80" s="34" t="s">
        <v>56</v>
      </c>
      <c r="C80" s="34" t="s">
        <v>259</v>
      </c>
      <c r="D80" s="7" t="s">
        <v>260</v>
      </c>
      <c r="E80" s="7">
        <v>212</v>
      </c>
      <c r="G80" s="9">
        <v>46100</v>
      </c>
      <c r="H80" s="34" t="s">
        <v>142</v>
      </c>
      <c r="I80" s="8" t="s">
        <v>253</v>
      </c>
      <c r="J80" s="24"/>
      <c r="K80" s="35" t="s">
        <v>31</v>
      </c>
      <c r="L80" s="28"/>
      <c r="M80" s="49"/>
      <c r="N80" s="27" t="str">
        <f ca="1" t="shared" si="4"/>
        <v>国内无查验</v>
      </c>
      <c r="O80" s="25">
        <v>46105</v>
      </c>
      <c r="P80" s="28">
        <v>46125</v>
      </c>
      <c r="Q80" s="27">
        <f ca="1" t="shared" si="5"/>
        <v>20</v>
      </c>
      <c r="R80" s="29"/>
    </row>
    <row r="81" customHeight="1" spans="1:18">
      <c r="A81" s="23" t="s">
        <v>55</v>
      </c>
      <c r="B81" s="34" t="s">
        <v>56</v>
      </c>
      <c r="C81" s="34" t="s">
        <v>261</v>
      </c>
      <c r="D81" s="7" t="s">
        <v>262</v>
      </c>
      <c r="E81" s="7">
        <v>212</v>
      </c>
      <c r="G81" s="9">
        <v>46100</v>
      </c>
      <c r="H81" s="34" t="s">
        <v>142</v>
      </c>
      <c r="I81" s="8" t="s">
        <v>253</v>
      </c>
      <c r="J81" s="24"/>
      <c r="K81" s="35" t="s">
        <v>31</v>
      </c>
      <c r="L81" s="28"/>
      <c r="M81" s="49"/>
      <c r="N81" s="27" t="str">
        <f ca="1" t="shared" si="4"/>
        <v>国内无查验</v>
      </c>
      <c r="O81" s="25">
        <v>46105</v>
      </c>
      <c r="P81" s="28">
        <v>46125</v>
      </c>
      <c r="Q81" s="27">
        <f ca="1" t="shared" si="5"/>
        <v>20</v>
      </c>
      <c r="R81" s="29"/>
    </row>
    <row r="82" customHeight="1" spans="1:18">
      <c r="A82" s="23" t="s">
        <v>66</v>
      </c>
      <c r="B82" s="23" t="s">
        <v>67</v>
      </c>
      <c r="C82" s="34" t="s">
        <v>263</v>
      </c>
      <c r="D82" s="7" t="s">
        <v>264</v>
      </c>
      <c r="E82" s="2">
        <v>234</v>
      </c>
      <c r="F82" s="24" t="s">
        <v>265</v>
      </c>
      <c r="G82" s="9">
        <v>46100</v>
      </c>
      <c r="H82" s="23" t="s">
        <v>59</v>
      </c>
      <c r="I82" s="24" t="s">
        <v>266</v>
      </c>
      <c r="J82" s="24" t="s">
        <v>267</v>
      </c>
      <c r="K82" s="24" t="s">
        <v>31</v>
      </c>
      <c r="L82" s="50"/>
      <c r="M82" s="49"/>
      <c r="N82" s="27" t="str">
        <f ca="1" t="shared" si="4"/>
        <v>国内无查验</v>
      </c>
      <c r="O82" s="25">
        <v>46107</v>
      </c>
      <c r="P82" s="28">
        <v>46120</v>
      </c>
      <c r="Q82" s="27">
        <f ca="1" t="shared" si="5"/>
        <v>13</v>
      </c>
      <c r="R82" s="29" t="s">
        <v>157</v>
      </c>
    </row>
    <row r="83" customHeight="1" spans="1:18">
      <c r="A83" s="23" t="s">
        <v>66</v>
      </c>
      <c r="B83" s="23" t="s">
        <v>67</v>
      </c>
      <c r="C83" s="34" t="s">
        <v>268</v>
      </c>
      <c r="D83" s="7" t="s">
        <v>269</v>
      </c>
      <c r="E83" s="2">
        <v>234</v>
      </c>
      <c r="F83" s="24" t="s">
        <v>265</v>
      </c>
      <c r="G83" s="9">
        <v>46100</v>
      </c>
      <c r="H83" s="23" t="s">
        <v>59</v>
      </c>
      <c r="K83" s="24" t="s">
        <v>31</v>
      </c>
      <c r="L83" s="50"/>
      <c r="M83" s="49"/>
      <c r="N83" s="27" t="str">
        <f ca="1" t="shared" si="4"/>
        <v>国内无查验</v>
      </c>
      <c r="O83" s="25">
        <v>46107</v>
      </c>
      <c r="P83" s="28">
        <v>46120</v>
      </c>
      <c r="Q83" s="27">
        <f ca="1" t="shared" si="5"/>
        <v>13</v>
      </c>
    </row>
    <row r="84" customHeight="1" spans="1:18">
      <c r="A84" s="23" t="s">
        <v>66</v>
      </c>
      <c r="B84" s="23" t="s">
        <v>67</v>
      </c>
      <c r="C84" s="34" t="s">
        <v>270</v>
      </c>
      <c r="D84" s="7" t="s">
        <v>271</v>
      </c>
      <c r="E84" s="2">
        <v>234</v>
      </c>
      <c r="F84" s="24" t="s">
        <v>265</v>
      </c>
      <c r="G84" s="9">
        <v>46100</v>
      </c>
      <c r="H84" s="23" t="s">
        <v>59</v>
      </c>
      <c r="K84" s="24" t="s">
        <v>31</v>
      </c>
      <c r="L84" s="50"/>
      <c r="M84" s="49"/>
      <c r="N84" s="27" t="str">
        <f ca="1" t="shared" si="4"/>
        <v>国内无查验</v>
      </c>
      <c r="O84" s="25">
        <v>46107</v>
      </c>
      <c r="P84" s="28">
        <v>46120</v>
      </c>
      <c r="Q84" s="27">
        <f ca="1" t="shared" si="5"/>
        <v>13</v>
      </c>
    </row>
    <row r="85" customHeight="1" spans="1:18">
      <c r="A85" s="23" t="s">
        <v>66</v>
      </c>
      <c r="B85" s="23" t="s">
        <v>67</v>
      </c>
      <c r="C85" s="34" t="s">
        <v>272</v>
      </c>
      <c r="D85" s="7" t="s">
        <v>273</v>
      </c>
      <c r="E85" s="7">
        <v>194</v>
      </c>
      <c r="F85" s="24" t="s">
        <v>265</v>
      </c>
      <c r="G85" s="9">
        <v>46100</v>
      </c>
      <c r="H85" s="23" t="s">
        <v>59</v>
      </c>
      <c r="K85" s="24" t="s">
        <v>31</v>
      </c>
      <c r="L85" s="50"/>
      <c r="M85" s="49"/>
      <c r="N85" s="27" t="str">
        <f ca="1" t="shared" si="4"/>
        <v>国内无查验</v>
      </c>
      <c r="O85" s="25">
        <v>46107</v>
      </c>
      <c r="P85" s="28">
        <v>46120</v>
      </c>
      <c r="Q85" s="27">
        <f ca="1" t="shared" si="5"/>
        <v>13</v>
      </c>
    </row>
    <row r="86" customHeight="1" spans="1:18">
      <c r="A86" s="23" t="s">
        <v>66</v>
      </c>
      <c r="B86" s="23" t="s">
        <v>67</v>
      </c>
      <c r="C86" s="34" t="s">
        <v>274</v>
      </c>
      <c r="D86" s="7" t="s">
        <v>275</v>
      </c>
      <c r="E86" s="2">
        <v>234</v>
      </c>
      <c r="F86" s="24" t="s">
        <v>265</v>
      </c>
      <c r="G86" s="9">
        <v>46100</v>
      </c>
      <c r="H86" s="23" t="s">
        <v>59</v>
      </c>
      <c r="K86" s="24" t="s">
        <v>31</v>
      </c>
      <c r="L86" s="50"/>
      <c r="M86" s="49"/>
      <c r="N86" s="27" t="str">
        <f ca="1" t="shared" si="4"/>
        <v>国内无查验</v>
      </c>
      <c r="O86" s="25">
        <v>46107</v>
      </c>
      <c r="P86" s="28">
        <v>46120</v>
      </c>
      <c r="Q86" s="27">
        <f ca="1" t="shared" si="5"/>
        <v>13</v>
      </c>
    </row>
    <row r="87" customHeight="1" spans="1:18">
      <c r="A87" s="23" t="s">
        <v>100</v>
      </c>
      <c r="B87" s="34" t="s">
        <v>101</v>
      </c>
      <c r="C87" s="34" t="s">
        <v>276</v>
      </c>
      <c r="D87" s="7" t="s">
        <v>277</v>
      </c>
      <c r="E87" s="7">
        <v>2520</v>
      </c>
      <c r="F87" s="24" t="s">
        <v>278</v>
      </c>
      <c r="G87" s="9">
        <v>46115</v>
      </c>
      <c r="H87" s="23" t="s">
        <v>142</v>
      </c>
      <c r="I87" s="35" t="s">
        <v>143</v>
      </c>
      <c r="J87" s="24" t="s">
        <v>208</v>
      </c>
      <c r="K87" s="24" t="s">
        <v>31</v>
      </c>
      <c r="L87" s="9">
        <v>46120</v>
      </c>
      <c r="M87" s="49">
        <v>46121</v>
      </c>
      <c r="N87" s="27">
        <f ca="1" t="shared" si="4"/>
        <v>1</v>
      </c>
      <c r="O87" s="9"/>
      <c r="P87" s="49"/>
      <c r="Q87" s="27" t="str">
        <f ca="1" t="shared" si="5"/>
        <v>国外无查验</v>
      </c>
      <c r="R87" s="29" t="s">
        <v>279</v>
      </c>
    </row>
    <row r="88" customHeight="1" spans="1:18">
      <c r="A88" s="23" t="s">
        <v>100</v>
      </c>
      <c r="B88" s="34" t="s">
        <v>101</v>
      </c>
      <c r="C88" s="34" t="s">
        <v>280</v>
      </c>
      <c r="D88" s="7" t="s">
        <v>281</v>
      </c>
      <c r="E88" s="7">
        <v>2250</v>
      </c>
      <c r="F88" s="24" t="s">
        <v>278</v>
      </c>
      <c r="G88" s="9">
        <v>46115</v>
      </c>
      <c r="H88" s="23" t="s">
        <v>142</v>
      </c>
      <c r="I88" s="35" t="s">
        <v>143</v>
      </c>
      <c r="J88" s="24"/>
      <c r="K88" s="24" t="s">
        <v>31</v>
      </c>
      <c r="L88" s="9">
        <v>46120</v>
      </c>
      <c r="M88" s="49">
        <v>46121</v>
      </c>
      <c r="N88" s="27">
        <f ca="1" t="shared" si="4"/>
        <v>1</v>
      </c>
      <c r="O88" s="9"/>
      <c r="P88" s="49"/>
      <c r="Q88" s="27" t="str">
        <f ca="1" t="shared" si="5"/>
        <v>国外无查验</v>
      </c>
    </row>
    <row r="89" customHeight="1" spans="1:18">
      <c r="A89" s="23" t="s">
        <v>100</v>
      </c>
      <c r="B89" s="34" t="s">
        <v>101</v>
      </c>
      <c r="C89" s="34" t="s">
        <v>282</v>
      </c>
      <c r="D89" s="7" t="s">
        <v>283</v>
      </c>
      <c r="E89" s="7">
        <v>3690</v>
      </c>
      <c r="F89" s="24" t="s">
        <v>278</v>
      </c>
      <c r="G89" s="9">
        <v>46115</v>
      </c>
      <c r="H89" s="23" t="s">
        <v>142</v>
      </c>
      <c r="I89" s="35" t="s">
        <v>143</v>
      </c>
      <c r="J89" s="24"/>
      <c r="K89" s="24" t="s">
        <v>31</v>
      </c>
      <c r="L89" s="9">
        <v>46120</v>
      </c>
      <c r="M89" s="49">
        <v>46121</v>
      </c>
      <c r="N89" s="27">
        <f ca="1" t="shared" si="4"/>
        <v>1</v>
      </c>
      <c r="O89" s="9"/>
      <c r="P89" s="49"/>
      <c r="Q89" s="27" t="str">
        <f ca="1" t="shared" si="5"/>
        <v>国外无查验</v>
      </c>
    </row>
    <row r="90" ht="30" customHeight="1" spans="1:18">
      <c r="A90" s="23" t="s">
        <v>100</v>
      </c>
      <c r="B90" s="34" t="s">
        <v>101</v>
      </c>
      <c r="C90" s="34" t="s">
        <v>284</v>
      </c>
      <c r="D90" s="6" t="s">
        <v>285</v>
      </c>
      <c r="E90" s="39">
        <v>3202</v>
      </c>
      <c r="F90" s="24" t="s">
        <v>141</v>
      </c>
      <c r="G90" s="9">
        <v>46100</v>
      </c>
      <c r="H90" s="23" t="s">
        <v>142</v>
      </c>
      <c r="I90" s="35" t="s">
        <v>286</v>
      </c>
      <c r="J90" s="24" t="s">
        <v>287</v>
      </c>
      <c r="K90" s="24" t="s">
        <v>31</v>
      </c>
      <c r="L90" s="9"/>
      <c r="M90" s="49"/>
      <c r="N90" s="27" t="str">
        <f ca="1" t="shared" si="4"/>
        <v>国内无查验</v>
      </c>
      <c r="O90" s="25">
        <v>46121</v>
      </c>
      <c r="P90" s="28">
        <v>46144</v>
      </c>
      <c r="Q90" s="27">
        <f ca="1" t="shared" si="5"/>
        <v>23</v>
      </c>
      <c r="R90" s="30" t="s">
        <v>288</v>
      </c>
    </row>
    <row r="91" ht="23.25" customHeight="1" spans="1:18">
      <c r="A91" s="23" t="s">
        <v>100</v>
      </c>
      <c r="B91" s="34" t="s">
        <v>101</v>
      </c>
      <c r="C91" s="34" t="s">
        <v>289</v>
      </c>
      <c r="D91" s="6" t="s">
        <v>290</v>
      </c>
      <c r="E91" s="39">
        <v>3070</v>
      </c>
      <c r="F91" s="24" t="s">
        <v>141</v>
      </c>
      <c r="G91" s="9">
        <v>46100</v>
      </c>
      <c r="H91" s="23" t="s">
        <v>142</v>
      </c>
      <c r="I91" s="35" t="s">
        <v>286</v>
      </c>
      <c r="K91" s="24" t="s">
        <v>31</v>
      </c>
      <c r="L91" s="9"/>
      <c r="M91" s="49"/>
      <c r="N91" s="27" t="str">
        <f ca="1" t="shared" si="4"/>
        <v>国内无查验</v>
      </c>
      <c r="O91" s="25">
        <v>46121</v>
      </c>
      <c r="P91" s="28">
        <v>46144</v>
      </c>
      <c r="Q91" s="27">
        <f ca="1" t="shared" si="5"/>
        <v>23</v>
      </c>
      <c r="R91" s="51"/>
    </row>
    <row r="92" customHeight="1" spans="1:18">
      <c r="A92" s="23" t="s">
        <v>100</v>
      </c>
      <c r="B92" s="34" t="s">
        <v>213</v>
      </c>
      <c r="C92" s="34" t="s">
        <v>291</v>
      </c>
      <c r="D92" s="7" t="s">
        <v>292</v>
      </c>
      <c r="E92" s="7">
        <v>325</v>
      </c>
      <c r="F92" s="24" t="s">
        <v>293</v>
      </c>
      <c r="G92" s="9">
        <v>46113</v>
      </c>
      <c r="H92" s="23" t="s">
        <v>28</v>
      </c>
      <c r="I92" s="8" t="s">
        <v>294</v>
      </c>
      <c r="J92" s="24" t="s">
        <v>295</v>
      </c>
      <c r="K92" s="24" t="s">
        <v>31</v>
      </c>
      <c r="L92" s="9"/>
      <c r="M92" s="49"/>
      <c r="N92" s="27" t="str">
        <f ca="1" t="shared" si="4"/>
        <v>国内无查验</v>
      </c>
      <c r="O92" s="25">
        <v>46123</v>
      </c>
      <c r="P92" s="28">
        <v>46126</v>
      </c>
      <c r="Q92" s="27">
        <f ca="1" t="shared" si="5"/>
        <v>3</v>
      </c>
      <c r="R92" s="29" t="s">
        <v>157</v>
      </c>
    </row>
    <row r="93" customHeight="1" spans="1:18">
      <c r="A93" s="23" t="s">
        <v>66</v>
      </c>
      <c r="B93" s="23" t="s">
        <v>67</v>
      </c>
      <c r="C93" s="34" t="s">
        <v>296</v>
      </c>
      <c r="D93" s="7" t="s">
        <v>297</v>
      </c>
      <c r="E93" s="7">
        <v>1046</v>
      </c>
      <c r="F93" s="24" t="s">
        <v>265</v>
      </c>
      <c r="G93" s="9">
        <v>46094</v>
      </c>
      <c r="H93" s="23" t="s">
        <v>142</v>
      </c>
      <c r="I93" s="8" t="s">
        <v>298</v>
      </c>
      <c r="J93" s="24" t="s">
        <v>299</v>
      </c>
      <c r="K93" s="24" t="s">
        <v>31</v>
      </c>
      <c r="L93" s="50"/>
      <c r="M93" s="26"/>
      <c r="N93" s="27" t="str">
        <f ca="1" t="shared" si="4"/>
        <v>国内无查验</v>
      </c>
      <c r="O93" s="25">
        <v>46122</v>
      </c>
      <c r="P93" s="28">
        <v>46140</v>
      </c>
      <c r="Q93" s="27">
        <f ca="1" t="shared" si="5"/>
        <v>18</v>
      </c>
      <c r="R93" s="29" t="s">
        <v>300</v>
      </c>
    </row>
    <row r="94" customHeight="1" spans="1:18">
      <c r="A94" s="23" t="s">
        <v>66</v>
      </c>
      <c r="B94" s="23" t="s">
        <v>67</v>
      </c>
      <c r="C94" s="34" t="s">
        <v>301</v>
      </c>
      <c r="D94" s="23" t="s">
        <v>302</v>
      </c>
      <c r="E94" s="7">
        <v>1046</v>
      </c>
      <c r="F94" s="24" t="s">
        <v>265</v>
      </c>
      <c r="G94" s="9">
        <v>46094</v>
      </c>
      <c r="H94" s="23" t="s">
        <v>142</v>
      </c>
      <c r="I94" s="8" t="s">
        <v>298</v>
      </c>
      <c r="J94" s="24"/>
      <c r="K94" s="24" t="s">
        <v>31</v>
      </c>
      <c r="L94" s="50"/>
      <c r="M94" s="26"/>
      <c r="N94" s="27" t="str">
        <f ca="1" t="shared" si="4"/>
        <v>国内无查验</v>
      </c>
      <c r="O94" s="25">
        <v>46122</v>
      </c>
      <c r="P94" s="28">
        <v>46140</v>
      </c>
      <c r="Q94" s="27">
        <f ca="1" t="shared" si="5"/>
        <v>18</v>
      </c>
    </row>
    <row r="95" customHeight="1" spans="1:18">
      <c r="A95" s="23" t="s">
        <v>100</v>
      </c>
      <c r="B95" s="34" t="s">
        <v>101</v>
      </c>
      <c r="C95" s="34" t="s">
        <v>303</v>
      </c>
      <c r="D95" s="6" t="s">
        <v>304</v>
      </c>
      <c r="E95" s="6">
        <v>1120</v>
      </c>
      <c r="F95" s="24" t="s">
        <v>241</v>
      </c>
      <c r="G95" s="9">
        <v>46115</v>
      </c>
      <c r="H95" s="23" t="s">
        <v>305</v>
      </c>
      <c r="I95" s="24" t="s">
        <v>306</v>
      </c>
      <c r="J95" s="24" t="s">
        <v>307</v>
      </c>
      <c r="K95" s="24" t="s">
        <v>31</v>
      </c>
      <c r="L95" s="9"/>
      <c r="M95" s="49"/>
      <c r="N95" s="27" t="str">
        <f ca="1" t="shared" si="4"/>
        <v>国内无查验</v>
      </c>
      <c r="O95" s="25">
        <v>46122</v>
      </c>
      <c r="P95" s="28">
        <v>46149</v>
      </c>
      <c r="Q95" s="27">
        <f ca="1" t="shared" si="5"/>
        <v>27</v>
      </c>
      <c r="R95" s="29" t="s">
        <v>308</v>
      </c>
    </row>
    <row r="96" customHeight="1" spans="1:18">
      <c r="A96" s="23" t="s">
        <v>100</v>
      </c>
      <c r="B96" s="34" t="s">
        <v>101</v>
      </c>
      <c r="C96" s="34" t="s">
        <v>309</v>
      </c>
      <c r="D96" s="6" t="s">
        <v>310</v>
      </c>
      <c r="E96" s="6">
        <v>1080</v>
      </c>
      <c r="F96" s="24" t="s">
        <v>241</v>
      </c>
      <c r="G96" s="9">
        <v>46115</v>
      </c>
      <c r="H96" s="23" t="s">
        <v>305</v>
      </c>
      <c r="I96" s="24" t="s">
        <v>306</v>
      </c>
      <c r="J96" s="24"/>
      <c r="K96" s="24" t="s">
        <v>31</v>
      </c>
      <c r="L96" s="9"/>
      <c r="M96" s="49"/>
      <c r="N96" s="27" t="str">
        <f ca="1" t="shared" si="4"/>
        <v>国内无查验</v>
      </c>
      <c r="O96" s="25">
        <v>46122</v>
      </c>
      <c r="P96" s="28">
        <v>46149</v>
      </c>
      <c r="Q96" s="27">
        <f ca="1" t="shared" si="5"/>
        <v>27</v>
      </c>
      <c r="R96" s="51"/>
    </row>
    <row r="97" customHeight="1" spans="1:18">
      <c r="A97" s="23" t="s">
        <v>55</v>
      </c>
      <c r="B97" s="34" t="s">
        <v>56</v>
      </c>
      <c r="C97" s="34" t="s">
        <v>311</v>
      </c>
      <c r="D97" s="7" t="s">
        <v>312</v>
      </c>
      <c r="E97" s="7">
        <v>1022</v>
      </c>
      <c r="F97" s="8" t="str">
        <f>_xlfn.DISPIMG("ID_158D6902F0E042DE8EE4ACC919F1C263",1)</f>
        <v>=DISPIMG("ID_158D6902F0E042DE8EE4ACC919F1C263",1)</v>
      </c>
      <c r="G97" s="9">
        <v>46113</v>
      </c>
      <c r="H97" s="23" t="s">
        <v>305</v>
      </c>
      <c r="I97" s="24" t="s">
        <v>306</v>
      </c>
      <c r="J97" s="24" t="s">
        <v>156</v>
      </c>
      <c r="K97" s="24" t="s">
        <v>31</v>
      </c>
      <c r="L97" s="9"/>
      <c r="M97" s="49"/>
      <c r="N97" s="27" t="str">
        <f ca="1" t="shared" si="4"/>
        <v>国内无查验</v>
      </c>
      <c r="O97" s="25">
        <v>46123</v>
      </c>
      <c r="P97" s="49">
        <v>46129</v>
      </c>
      <c r="Q97" s="27">
        <f ca="1" t="shared" si="5"/>
        <v>6</v>
      </c>
      <c r="R97" s="29" t="s">
        <v>157</v>
      </c>
    </row>
    <row r="98" customHeight="1" spans="1:18">
      <c r="A98" s="23" t="s">
        <v>55</v>
      </c>
      <c r="B98" s="34" t="s">
        <v>56</v>
      </c>
      <c r="C98" s="34" t="s">
        <v>313</v>
      </c>
      <c r="D98" s="7" t="s">
        <v>314</v>
      </c>
      <c r="E98" s="7">
        <v>1022</v>
      </c>
      <c r="G98" s="9">
        <v>46113</v>
      </c>
      <c r="H98" s="23" t="s">
        <v>305</v>
      </c>
      <c r="I98" s="24" t="s">
        <v>306</v>
      </c>
      <c r="K98" s="24" t="s">
        <v>31</v>
      </c>
      <c r="L98" s="9"/>
      <c r="M98" s="49"/>
      <c r="N98" s="27" t="str">
        <f ca="1" t="shared" si="4"/>
        <v>国内无查验</v>
      </c>
      <c r="O98" s="25">
        <v>46123</v>
      </c>
      <c r="P98" s="49">
        <v>46129</v>
      </c>
      <c r="Q98" s="27">
        <f ca="1" t="shared" si="5"/>
        <v>6</v>
      </c>
    </row>
    <row r="99" customHeight="1" spans="1:18">
      <c r="A99" s="23" t="s">
        <v>55</v>
      </c>
      <c r="B99" s="34" t="s">
        <v>56</v>
      </c>
      <c r="C99" s="34" t="s">
        <v>315</v>
      </c>
      <c r="D99" s="7" t="s">
        <v>316</v>
      </c>
      <c r="E99" s="7">
        <v>1022</v>
      </c>
      <c r="G99" s="9">
        <v>46113</v>
      </c>
      <c r="H99" s="23" t="s">
        <v>305</v>
      </c>
      <c r="I99" s="24" t="s">
        <v>306</v>
      </c>
      <c r="K99" s="24" t="s">
        <v>31</v>
      </c>
      <c r="L99" s="9"/>
      <c r="M99" s="49"/>
      <c r="N99" s="27" t="str">
        <f ca="1" t="shared" ref="N99:N130" si="6">IF(AND(M99="",L99=""),"国内无查验",IF(M99="",TODAY()-L99,M99-L99))</f>
        <v>国内无查验</v>
      </c>
      <c r="O99" s="25">
        <v>46123</v>
      </c>
      <c r="P99" s="49">
        <v>46129</v>
      </c>
      <c r="Q99" s="27">
        <f ca="1" t="shared" ref="Q99:Q130" si="7">IF(AND(P99="",O99=""),"国外无查验",IF(P99="",TODAY()-O99,P99-O99))</f>
        <v>6</v>
      </c>
    </row>
    <row r="100" customHeight="1" spans="1:18">
      <c r="A100" s="23" t="s">
        <v>55</v>
      </c>
      <c r="B100" s="34" t="s">
        <v>56</v>
      </c>
      <c r="C100" s="34" t="s">
        <v>317</v>
      </c>
      <c r="D100" s="7" t="s">
        <v>318</v>
      </c>
      <c r="E100" s="7">
        <v>1022</v>
      </c>
      <c r="G100" s="9">
        <v>46113</v>
      </c>
      <c r="H100" s="23" t="s">
        <v>305</v>
      </c>
      <c r="I100" s="24" t="s">
        <v>306</v>
      </c>
      <c r="K100" s="24" t="s">
        <v>31</v>
      </c>
      <c r="L100" s="9"/>
      <c r="M100" s="49"/>
      <c r="N100" s="27" t="str">
        <f ca="1" t="shared" si="6"/>
        <v>国内无查验</v>
      </c>
      <c r="O100" s="25">
        <v>46123</v>
      </c>
      <c r="P100" s="49">
        <v>46129</v>
      </c>
      <c r="Q100" s="27">
        <f ca="1" t="shared" si="7"/>
        <v>6</v>
      </c>
    </row>
    <row r="101" customHeight="1" spans="1:18">
      <c r="A101" s="23" t="s">
        <v>66</v>
      </c>
      <c r="B101" s="34" t="s">
        <v>319</v>
      </c>
      <c r="C101" s="34" t="s">
        <v>320</v>
      </c>
      <c r="D101" s="23" t="s">
        <v>321</v>
      </c>
      <c r="E101" s="7">
        <v>634</v>
      </c>
      <c r="F101" s="24" t="s">
        <v>322</v>
      </c>
      <c r="G101" s="9">
        <v>46122</v>
      </c>
      <c r="H101" s="23" t="s">
        <v>59</v>
      </c>
      <c r="I101" s="8" t="s">
        <v>323</v>
      </c>
      <c r="J101" s="24" t="s">
        <v>324</v>
      </c>
      <c r="K101" s="24" t="s">
        <v>31</v>
      </c>
      <c r="L101" s="50">
        <v>46127</v>
      </c>
      <c r="M101" s="49">
        <v>46129</v>
      </c>
      <c r="N101" s="27">
        <f ca="1" t="shared" si="6"/>
        <v>2</v>
      </c>
      <c r="O101" s="50"/>
      <c r="P101" s="49"/>
      <c r="Q101" s="27" t="str">
        <f ca="1" t="shared" si="7"/>
        <v>国外无查验</v>
      </c>
      <c r="R101" s="29" t="s">
        <v>325</v>
      </c>
    </row>
    <row r="102" customHeight="1" spans="1:18">
      <c r="A102" s="23" t="s">
        <v>100</v>
      </c>
      <c r="B102" s="34" t="s">
        <v>101</v>
      </c>
      <c r="C102" s="34" t="s">
        <v>326</v>
      </c>
      <c r="D102" s="52" t="s">
        <v>327</v>
      </c>
      <c r="E102" s="52">
        <v>371</v>
      </c>
      <c r="F102" s="24" t="s">
        <v>328</v>
      </c>
      <c r="G102" s="9">
        <v>46122</v>
      </c>
      <c r="H102" s="23" t="s">
        <v>142</v>
      </c>
      <c r="I102" s="8" t="s">
        <v>329</v>
      </c>
      <c r="J102" s="24" t="s">
        <v>330</v>
      </c>
      <c r="K102" s="24" t="s">
        <v>31</v>
      </c>
      <c r="L102" s="9"/>
      <c r="M102" s="9"/>
      <c r="N102" s="27" t="str">
        <f ca="1" t="shared" si="6"/>
        <v>国内无查验</v>
      </c>
      <c r="O102" s="25">
        <v>46131</v>
      </c>
      <c r="P102" s="28">
        <v>46132</v>
      </c>
      <c r="Q102" s="27">
        <f ca="1" t="shared" si="7"/>
        <v>1</v>
      </c>
      <c r="R102" s="29" t="s">
        <v>157</v>
      </c>
    </row>
    <row r="103" customHeight="1" spans="1:18">
      <c r="A103" s="23" t="s">
        <v>100</v>
      </c>
      <c r="B103" s="34" t="s">
        <v>101</v>
      </c>
      <c r="C103" s="34" t="s">
        <v>331</v>
      </c>
      <c r="D103" s="52" t="s">
        <v>332</v>
      </c>
      <c r="E103" s="52">
        <v>371</v>
      </c>
      <c r="F103" s="24" t="s">
        <v>328</v>
      </c>
      <c r="G103" s="9">
        <v>46122</v>
      </c>
      <c r="H103" s="23" t="s">
        <v>142</v>
      </c>
      <c r="I103" s="8" t="s">
        <v>329</v>
      </c>
      <c r="J103" s="24"/>
      <c r="K103" s="24" t="s">
        <v>31</v>
      </c>
      <c r="L103" s="9"/>
      <c r="M103" s="9"/>
      <c r="N103" s="27" t="str">
        <f ca="1" t="shared" si="6"/>
        <v>国内无查验</v>
      </c>
      <c r="O103" s="25">
        <v>46131</v>
      </c>
      <c r="P103" s="28">
        <v>46132</v>
      </c>
      <c r="Q103" s="27">
        <f ca="1" t="shared" si="7"/>
        <v>1</v>
      </c>
      <c r="R103" s="51"/>
    </row>
    <row r="104" customHeight="1" spans="1:18">
      <c r="A104" s="23" t="s">
        <v>100</v>
      </c>
      <c r="B104" s="34" t="s">
        <v>101</v>
      </c>
      <c r="C104" s="34" t="s">
        <v>333</v>
      </c>
      <c r="D104" s="52" t="s">
        <v>334</v>
      </c>
      <c r="E104" s="52">
        <v>371</v>
      </c>
      <c r="F104" s="24" t="s">
        <v>328</v>
      </c>
      <c r="G104" s="9">
        <v>46122</v>
      </c>
      <c r="H104" s="23" t="s">
        <v>142</v>
      </c>
      <c r="I104" s="8" t="s">
        <v>329</v>
      </c>
      <c r="J104" s="24"/>
      <c r="K104" s="24" t="s">
        <v>31</v>
      </c>
      <c r="L104" s="9"/>
      <c r="M104" s="9"/>
      <c r="N104" s="27" t="str">
        <f ca="1" t="shared" si="6"/>
        <v>国内无查验</v>
      </c>
      <c r="O104" s="25">
        <v>46131</v>
      </c>
      <c r="P104" s="28">
        <v>46132</v>
      </c>
      <c r="Q104" s="27">
        <f ca="1" t="shared" si="7"/>
        <v>1</v>
      </c>
      <c r="R104" s="51"/>
    </row>
    <row r="105" customHeight="1" spans="1:18">
      <c r="A105" s="23" t="s">
        <v>100</v>
      </c>
      <c r="B105" s="34" t="s">
        <v>101</v>
      </c>
      <c r="C105" s="34" t="s">
        <v>335</v>
      </c>
      <c r="D105" s="52" t="s">
        <v>336</v>
      </c>
      <c r="E105" s="52">
        <v>371</v>
      </c>
      <c r="F105" s="24" t="s">
        <v>328</v>
      </c>
      <c r="G105" s="9">
        <v>46122</v>
      </c>
      <c r="H105" s="23" t="s">
        <v>142</v>
      </c>
      <c r="I105" s="8" t="s">
        <v>329</v>
      </c>
      <c r="J105" s="24"/>
      <c r="K105" s="24" t="s">
        <v>31</v>
      </c>
      <c r="L105" s="9"/>
      <c r="M105" s="9"/>
      <c r="N105" s="27" t="str">
        <f ca="1" t="shared" si="6"/>
        <v>国内无查验</v>
      </c>
      <c r="O105" s="25">
        <v>46131</v>
      </c>
      <c r="P105" s="28">
        <v>46132</v>
      </c>
      <c r="Q105" s="27">
        <f ca="1" t="shared" si="7"/>
        <v>1</v>
      </c>
      <c r="R105" s="51"/>
    </row>
    <row r="106" customHeight="1" spans="1:18">
      <c r="A106" s="23" t="s">
        <v>100</v>
      </c>
      <c r="B106" s="34" t="s">
        <v>101</v>
      </c>
      <c r="C106" s="34" t="s">
        <v>337</v>
      </c>
      <c r="D106" s="52" t="s">
        <v>338</v>
      </c>
      <c r="E106" s="52">
        <v>371</v>
      </c>
      <c r="F106" s="24" t="s">
        <v>328</v>
      </c>
      <c r="G106" s="9">
        <v>46122</v>
      </c>
      <c r="H106" s="23" t="s">
        <v>142</v>
      </c>
      <c r="I106" s="8" t="s">
        <v>329</v>
      </c>
      <c r="J106" s="24"/>
      <c r="K106" s="24" t="s">
        <v>31</v>
      </c>
      <c r="L106" s="9"/>
      <c r="M106" s="9"/>
      <c r="N106" s="27" t="str">
        <f ca="1" t="shared" si="6"/>
        <v>国内无查验</v>
      </c>
      <c r="O106" s="25">
        <v>46131</v>
      </c>
      <c r="P106" s="28">
        <v>46132</v>
      </c>
      <c r="Q106" s="27">
        <f ca="1" t="shared" si="7"/>
        <v>1</v>
      </c>
      <c r="R106" s="51"/>
    </row>
    <row r="107" ht="30" customHeight="1" spans="1:18">
      <c r="A107" s="23" t="s">
        <v>66</v>
      </c>
      <c r="B107" s="23" t="s">
        <v>67</v>
      </c>
      <c r="C107" s="34" t="s">
        <v>339</v>
      </c>
      <c r="D107" s="7" t="s">
        <v>340</v>
      </c>
      <c r="E107" s="7">
        <v>1313</v>
      </c>
      <c r="F107" s="24" t="s">
        <v>265</v>
      </c>
      <c r="G107" s="53">
        <v>46126</v>
      </c>
      <c r="H107" s="23" t="s">
        <v>142</v>
      </c>
      <c r="I107" s="24" t="s">
        <v>341</v>
      </c>
      <c r="J107" s="24" t="s">
        <v>342</v>
      </c>
      <c r="K107" s="24" t="s">
        <v>31</v>
      </c>
      <c r="L107" s="50">
        <v>46133</v>
      </c>
      <c r="M107" s="26">
        <v>46141</v>
      </c>
      <c r="N107" s="27">
        <f ca="1" t="shared" si="6"/>
        <v>8</v>
      </c>
      <c r="O107" s="50"/>
      <c r="P107" s="26"/>
      <c r="Q107" s="27" t="str">
        <f ca="1" t="shared" si="7"/>
        <v>国外无查验</v>
      </c>
      <c r="R107" s="29" t="s">
        <v>343</v>
      </c>
    </row>
    <row r="108" ht="30" customHeight="1" spans="1:18">
      <c r="A108" s="23" t="s">
        <v>66</v>
      </c>
      <c r="B108" s="23" t="s">
        <v>67</v>
      </c>
      <c r="C108" s="34" t="s">
        <v>344</v>
      </c>
      <c r="D108" s="7" t="s">
        <v>345</v>
      </c>
      <c r="E108" s="7">
        <v>1313</v>
      </c>
      <c r="F108" s="24" t="s">
        <v>265</v>
      </c>
      <c r="G108" s="53">
        <v>46126</v>
      </c>
      <c r="H108" s="23" t="s">
        <v>142</v>
      </c>
      <c r="I108" s="24" t="s">
        <v>341</v>
      </c>
      <c r="K108" s="24" t="s">
        <v>31</v>
      </c>
      <c r="L108" s="50">
        <v>46133</v>
      </c>
      <c r="M108" s="26">
        <v>46141</v>
      </c>
      <c r="N108" s="27">
        <f ca="1" t="shared" si="6"/>
        <v>8</v>
      </c>
      <c r="O108" s="50"/>
      <c r="P108" s="26"/>
      <c r="Q108" s="27" t="str">
        <f ca="1" t="shared" si="7"/>
        <v>国外无查验</v>
      </c>
    </row>
    <row r="109" customHeight="1" spans="1:18">
      <c r="A109" s="23" t="s">
        <v>55</v>
      </c>
      <c r="B109" s="34" t="s">
        <v>56</v>
      </c>
      <c r="C109" s="34" t="s">
        <v>346</v>
      </c>
      <c r="D109" s="54" t="s">
        <v>347</v>
      </c>
      <c r="E109" s="54">
        <v>688</v>
      </c>
      <c r="F109" s="8" t="str">
        <f>_xlfn.DISPIMG("ID_1F9206A4BF9A45FFBDBE186585BF1015",1)</f>
        <v>=DISPIMG("ID_1F9206A4BF9A45FFBDBE186585BF1015",1)</v>
      </c>
      <c r="G109" s="9">
        <v>46121</v>
      </c>
      <c r="H109" s="23" t="s">
        <v>142</v>
      </c>
      <c r="I109" s="8" t="s">
        <v>198</v>
      </c>
      <c r="J109" s="24" t="s">
        <v>208</v>
      </c>
      <c r="K109" s="24" t="s">
        <v>31</v>
      </c>
      <c r="L109" s="50">
        <v>46127</v>
      </c>
      <c r="M109" s="9">
        <v>46134</v>
      </c>
      <c r="N109" s="27">
        <f ca="1" t="shared" si="6"/>
        <v>7</v>
      </c>
      <c r="O109" s="50"/>
      <c r="P109" s="9"/>
      <c r="Q109" s="27" t="str">
        <f ca="1" t="shared" si="7"/>
        <v>国外无查验</v>
      </c>
      <c r="R109" s="24" t="s">
        <v>157</v>
      </c>
    </row>
    <row r="110" customHeight="1" spans="1:18">
      <c r="A110" s="23" t="s">
        <v>55</v>
      </c>
      <c r="B110" s="34" t="s">
        <v>56</v>
      </c>
      <c r="C110" s="34" t="s">
        <v>348</v>
      </c>
      <c r="D110" s="54" t="s">
        <v>349</v>
      </c>
      <c r="E110" s="54">
        <v>688</v>
      </c>
      <c r="G110" s="9">
        <v>46121</v>
      </c>
      <c r="H110" s="23" t="s">
        <v>142</v>
      </c>
      <c r="I110" s="8" t="s">
        <v>143</v>
      </c>
      <c r="J110" s="24"/>
      <c r="K110" s="24" t="s">
        <v>31</v>
      </c>
      <c r="L110" s="50">
        <v>46127</v>
      </c>
      <c r="M110" s="9">
        <v>46134</v>
      </c>
      <c r="N110" s="27">
        <f ca="1" t="shared" si="6"/>
        <v>7</v>
      </c>
      <c r="O110" s="50"/>
      <c r="P110" s="9"/>
      <c r="Q110" s="27" t="str">
        <f ca="1" t="shared" si="7"/>
        <v>国外无查验</v>
      </c>
      <c r="R110" s="8"/>
    </row>
    <row r="111" customHeight="1" spans="1:18">
      <c r="A111" s="23" t="s">
        <v>55</v>
      </c>
      <c r="B111" s="34" t="s">
        <v>56</v>
      </c>
      <c r="C111" s="34" t="s">
        <v>350</v>
      </c>
      <c r="D111" s="54" t="s">
        <v>351</v>
      </c>
      <c r="E111" s="54">
        <v>688</v>
      </c>
      <c r="G111" s="9">
        <v>46121</v>
      </c>
      <c r="H111" s="23" t="s">
        <v>142</v>
      </c>
      <c r="I111" s="8" t="s">
        <v>143</v>
      </c>
      <c r="J111" s="24"/>
      <c r="K111" s="24" t="s">
        <v>31</v>
      </c>
      <c r="L111" s="50">
        <v>46127</v>
      </c>
      <c r="M111" s="9">
        <v>46134</v>
      </c>
      <c r="N111" s="27">
        <f ca="1" t="shared" si="6"/>
        <v>7</v>
      </c>
      <c r="O111" s="50"/>
      <c r="P111" s="9"/>
      <c r="Q111" s="27" t="str">
        <f ca="1" t="shared" si="7"/>
        <v>国外无查验</v>
      </c>
      <c r="R111" s="8"/>
    </row>
    <row r="112" customHeight="1" spans="1:18">
      <c r="A112" s="23" t="s">
        <v>55</v>
      </c>
      <c r="B112" s="34" t="s">
        <v>56</v>
      </c>
      <c r="C112" s="34" t="s">
        <v>352</v>
      </c>
      <c r="D112" s="54" t="s">
        <v>353</v>
      </c>
      <c r="E112" s="54">
        <v>688</v>
      </c>
      <c r="G112" s="9">
        <v>46121</v>
      </c>
      <c r="H112" s="23" t="s">
        <v>142</v>
      </c>
      <c r="I112" s="8" t="s">
        <v>198</v>
      </c>
      <c r="J112" s="24"/>
      <c r="K112" s="24" t="s">
        <v>31</v>
      </c>
      <c r="L112" s="50">
        <v>46127</v>
      </c>
      <c r="M112" s="9">
        <v>46134</v>
      </c>
      <c r="N112" s="27">
        <f ca="1" t="shared" si="6"/>
        <v>7</v>
      </c>
      <c r="O112" s="50"/>
      <c r="P112" s="9"/>
      <c r="Q112" s="27" t="str">
        <f ca="1" t="shared" si="7"/>
        <v>国外无查验</v>
      </c>
      <c r="R112" s="8"/>
    </row>
    <row r="113" customHeight="1" spans="1:18">
      <c r="A113" s="23" t="s">
        <v>55</v>
      </c>
      <c r="B113" s="34" t="s">
        <v>56</v>
      </c>
      <c r="C113" s="34" t="s">
        <v>354</v>
      </c>
      <c r="D113" s="54" t="s">
        <v>355</v>
      </c>
      <c r="E113" s="54">
        <v>688</v>
      </c>
      <c r="G113" s="9">
        <v>46121</v>
      </c>
      <c r="H113" s="23" t="s">
        <v>142</v>
      </c>
      <c r="I113" s="8" t="s">
        <v>143</v>
      </c>
      <c r="J113" s="24"/>
      <c r="K113" s="24" t="s">
        <v>31</v>
      </c>
      <c r="L113" s="50">
        <v>46127</v>
      </c>
      <c r="M113" s="9">
        <v>46134</v>
      </c>
      <c r="N113" s="27">
        <f ca="1" t="shared" si="6"/>
        <v>7</v>
      </c>
      <c r="O113" s="50"/>
      <c r="P113" s="9"/>
      <c r="Q113" s="27" t="str">
        <f ca="1" t="shared" si="7"/>
        <v>国外无查验</v>
      </c>
      <c r="R113" s="8"/>
    </row>
    <row r="114" customHeight="1" spans="1:18">
      <c r="A114" s="23" t="s">
        <v>55</v>
      </c>
      <c r="B114" s="34" t="s">
        <v>56</v>
      </c>
      <c r="C114" s="34" t="s">
        <v>356</v>
      </c>
      <c r="D114" s="7" t="s">
        <v>357</v>
      </c>
      <c r="E114" s="7">
        <v>1078</v>
      </c>
      <c r="F114" s="8" t="str">
        <f>_xlfn.DISPIMG("ID_899B0DD7D6814291B8FFFA033A6B8F52",1)</f>
        <v>=DISPIMG("ID_899B0DD7D6814291B8FFFA033A6B8F52",1)</v>
      </c>
      <c r="G114" s="9">
        <v>46128</v>
      </c>
      <c r="H114" s="23" t="s">
        <v>59</v>
      </c>
      <c r="I114" s="8" t="s">
        <v>358</v>
      </c>
      <c r="J114" s="24" t="s">
        <v>359</v>
      </c>
      <c r="K114" s="24" t="s">
        <v>31</v>
      </c>
      <c r="L114" s="50"/>
      <c r="M114" s="9"/>
      <c r="N114" s="27" t="str">
        <f ca="1" t="shared" si="6"/>
        <v>国内无查验</v>
      </c>
      <c r="O114" s="25">
        <v>46133</v>
      </c>
      <c r="P114" s="9">
        <v>46142</v>
      </c>
      <c r="Q114" s="27">
        <f ca="1" t="shared" si="7"/>
        <v>9</v>
      </c>
      <c r="R114" s="24" t="s">
        <v>157</v>
      </c>
    </row>
    <row r="115" customHeight="1" spans="1:18">
      <c r="A115" s="23" t="s">
        <v>55</v>
      </c>
      <c r="B115" s="34" t="s">
        <v>56</v>
      </c>
      <c r="C115" s="34" t="s">
        <v>360</v>
      </c>
      <c r="D115" s="7" t="s">
        <v>361</v>
      </c>
      <c r="E115" s="7">
        <v>1078</v>
      </c>
      <c r="G115" s="9">
        <v>46128</v>
      </c>
      <c r="H115" s="23" t="s">
        <v>59</v>
      </c>
      <c r="I115" s="8" t="s">
        <v>358</v>
      </c>
      <c r="K115" s="24" t="s">
        <v>31</v>
      </c>
      <c r="L115" s="50"/>
      <c r="M115" s="9"/>
      <c r="N115" s="27" t="str">
        <f ca="1" t="shared" si="6"/>
        <v>国内无查验</v>
      </c>
      <c r="O115" s="25">
        <v>46133</v>
      </c>
      <c r="P115" s="9">
        <v>46142</v>
      </c>
      <c r="Q115" s="27">
        <f ca="1" t="shared" si="7"/>
        <v>9</v>
      </c>
      <c r="R115" s="8"/>
    </row>
    <row r="116" ht="47.8" customHeight="1" spans="1:18">
      <c r="A116" s="23" t="s">
        <v>55</v>
      </c>
      <c r="B116" s="34" t="s">
        <v>56</v>
      </c>
      <c r="C116" s="34" t="s">
        <v>362</v>
      </c>
      <c r="D116" s="23" t="s">
        <v>363</v>
      </c>
      <c r="E116" s="7">
        <v>408</v>
      </c>
      <c r="F116" s="24" t="str">
        <f>_xlfn.DISPIMG("ID_3054F46BB86C42929225CC1D06423939",1)</f>
        <v>=DISPIMG("ID_3054F46BB86C42929225CC1D06423939",1)</v>
      </c>
      <c r="G116" s="9">
        <v>46141</v>
      </c>
      <c r="H116" s="23" t="s">
        <v>142</v>
      </c>
      <c r="I116" s="24" t="s">
        <v>329</v>
      </c>
      <c r="J116" s="24" t="s">
        <v>364</v>
      </c>
      <c r="K116" s="24" t="s">
        <v>31</v>
      </c>
      <c r="L116" s="9"/>
      <c r="M116" s="9"/>
      <c r="N116" s="27" t="str">
        <f ca="1" t="shared" si="6"/>
        <v>国内无查验</v>
      </c>
      <c r="O116" s="25">
        <v>46151</v>
      </c>
      <c r="P116" s="28">
        <v>46154</v>
      </c>
      <c r="Q116" s="27">
        <f ca="1" t="shared" si="7"/>
        <v>3</v>
      </c>
      <c r="R116" s="24" t="s">
        <v>365</v>
      </c>
    </row>
    <row r="117" ht="47.8" customHeight="1" spans="1:18">
      <c r="A117" s="23" t="s">
        <v>55</v>
      </c>
      <c r="B117" s="34" t="s">
        <v>56</v>
      </c>
      <c r="C117" s="34" t="s">
        <v>366</v>
      </c>
      <c r="D117" s="23" t="s">
        <v>367</v>
      </c>
      <c r="E117" s="7">
        <v>408</v>
      </c>
      <c r="F117" s="24"/>
      <c r="G117" s="9">
        <v>46141</v>
      </c>
      <c r="H117" s="23" t="s">
        <v>142</v>
      </c>
      <c r="I117" s="24" t="s">
        <v>329</v>
      </c>
      <c r="J117" s="24"/>
      <c r="K117" s="24" t="s">
        <v>31</v>
      </c>
      <c r="L117" s="9"/>
      <c r="M117" s="9"/>
      <c r="N117" s="27" t="str">
        <f ca="1" t="shared" si="6"/>
        <v>国内无查验</v>
      </c>
      <c r="O117" s="25">
        <v>46151</v>
      </c>
      <c r="P117" s="28">
        <v>46154</v>
      </c>
      <c r="Q117" s="27">
        <f ca="1" t="shared" si="7"/>
        <v>3</v>
      </c>
      <c r="R117" s="24"/>
    </row>
    <row r="118" ht="47.8" customHeight="1" spans="1:18">
      <c r="A118" s="23" t="s">
        <v>55</v>
      </c>
      <c r="B118" s="34" t="s">
        <v>56</v>
      </c>
      <c r="C118" s="34" t="s">
        <v>368</v>
      </c>
      <c r="D118" s="23" t="s">
        <v>369</v>
      </c>
      <c r="E118" s="7">
        <v>408</v>
      </c>
      <c r="F118" s="24"/>
      <c r="G118" s="9">
        <v>46141</v>
      </c>
      <c r="H118" s="23" t="s">
        <v>142</v>
      </c>
      <c r="I118" s="24" t="s">
        <v>329</v>
      </c>
      <c r="J118" s="24"/>
      <c r="K118" s="24" t="s">
        <v>31</v>
      </c>
      <c r="L118" s="9"/>
      <c r="M118" s="9"/>
      <c r="N118" s="27" t="str">
        <f ca="1" t="shared" si="6"/>
        <v>国内无查验</v>
      </c>
      <c r="O118" s="25">
        <v>46151</v>
      </c>
      <c r="P118" s="28">
        <v>46154</v>
      </c>
      <c r="Q118" s="27">
        <f ca="1" t="shared" si="7"/>
        <v>3</v>
      </c>
      <c r="R118" s="24"/>
    </row>
    <row r="119" ht="47.8" customHeight="1" spans="1:18">
      <c r="A119" s="23" t="s">
        <v>55</v>
      </c>
      <c r="B119" s="34" t="s">
        <v>56</v>
      </c>
      <c r="C119" s="34" t="s">
        <v>370</v>
      </c>
      <c r="D119" s="23" t="s">
        <v>371</v>
      </c>
      <c r="E119" s="7">
        <v>408</v>
      </c>
      <c r="F119" s="24"/>
      <c r="G119" s="9">
        <v>46141</v>
      </c>
      <c r="H119" s="23" t="s">
        <v>142</v>
      </c>
      <c r="I119" s="24" t="s">
        <v>329</v>
      </c>
      <c r="J119" s="24"/>
      <c r="K119" s="24" t="s">
        <v>31</v>
      </c>
      <c r="L119" s="9"/>
      <c r="M119" s="9"/>
      <c r="N119" s="27" t="str">
        <f ca="1" t="shared" si="6"/>
        <v>国内无查验</v>
      </c>
      <c r="O119" s="25">
        <v>46151</v>
      </c>
      <c r="P119" s="28">
        <v>46154</v>
      </c>
      <c r="Q119" s="27">
        <f ca="1" t="shared" si="7"/>
        <v>3</v>
      </c>
      <c r="R119" s="24"/>
    </row>
    <row r="120" ht="47.8" customHeight="1" spans="1:18">
      <c r="A120" s="23" t="s">
        <v>55</v>
      </c>
      <c r="B120" s="34" t="s">
        <v>56</v>
      </c>
      <c r="C120" s="34" t="s">
        <v>372</v>
      </c>
      <c r="D120" s="23" t="s">
        <v>373</v>
      </c>
      <c r="E120" s="7">
        <v>408</v>
      </c>
      <c r="F120" s="24"/>
      <c r="G120" s="9">
        <v>46141</v>
      </c>
      <c r="H120" s="23" t="s">
        <v>142</v>
      </c>
      <c r="I120" s="24" t="s">
        <v>329</v>
      </c>
      <c r="J120" s="24"/>
      <c r="K120" s="24" t="s">
        <v>31</v>
      </c>
      <c r="L120" s="9"/>
      <c r="M120" s="9"/>
      <c r="N120" s="27" t="str">
        <f ca="1" t="shared" si="6"/>
        <v>国内无查验</v>
      </c>
      <c r="O120" s="25">
        <v>46151</v>
      </c>
      <c r="P120" s="28">
        <v>46154</v>
      </c>
      <c r="Q120" s="27">
        <f ca="1" t="shared" si="7"/>
        <v>3</v>
      </c>
      <c r="R120" s="24"/>
    </row>
    <row r="121" ht="47.8" customHeight="1" spans="1:18">
      <c r="A121" s="23" t="s">
        <v>66</v>
      </c>
      <c r="B121" s="34" t="s">
        <v>319</v>
      </c>
      <c r="C121" s="34" t="s">
        <v>374</v>
      </c>
      <c r="D121" s="23" t="s">
        <v>375</v>
      </c>
      <c r="E121" s="7">
        <v>1554</v>
      </c>
      <c r="F121" s="24" t="s">
        <v>322</v>
      </c>
      <c r="G121" s="9">
        <v>46136</v>
      </c>
      <c r="H121" s="23" t="s">
        <v>59</v>
      </c>
      <c r="I121" s="24" t="s">
        <v>323</v>
      </c>
      <c r="J121" s="24" t="s">
        <v>376</v>
      </c>
      <c r="K121" s="24" t="s">
        <v>31</v>
      </c>
      <c r="L121" s="50">
        <v>46140</v>
      </c>
      <c r="M121" s="26">
        <v>46142</v>
      </c>
      <c r="N121" s="27">
        <f ca="1" t="shared" si="6"/>
        <v>2</v>
      </c>
      <c r="O121" s="50"/>
      <c r="P121" s="26"/>
      <c r="Q121" s="27" t="str">
        <f ca="1" t="shared" si="7"/>
        <v>国外无查验</v>
      </c>
      <c r="R121" s="29" t="s">
        <v>377</v>
      </c>
    </row>
    <row r="122" customHeight="1" spans="1:18">
      <c r="A122" s="23" t="s">
        <v>100</v>
      </c>
      <c r="B122" s="23" t="s">
        <v>133</v>
      </c>
      <c r="C122" s="34" t="s">
        <v>378</v>
      </c>
      <c r="D122" s="55" t="s">
        <v>379</v>
      </c>
      <c r="E122" s="55">
        <v>59</v>
      </c>
      <c r="F122" s="24" t="s">
        <v>136</v>
      </c>
      <c r="G122" s="9">
        <v>46135</v>
      </c>
      <c r="H122" s="23" t="s">
        <v>142</v>
      </c>
      <c r="I122" s="24" t="s">
        <v>329</v>
      </c>
      <c r="J122" s="24" t="s">
        <v>330</v>
      </c>
      <c r="K122" s="24" t="s">
        <v>31</v>
      </c>
      <c r="L122" s="9"/>
      <c r="M122" s="9"/>
      <c r="N122" s="27" t="str">
        <f ca="1" t="shared" si="6"/>
        <v>国内无查验</v>
      </c>
      <c r="O122" s="25">
        <v>46144</v>
      </c>
      <c r="P122" s="28">
        <v>46145</v>
      </c>
      <c r="Q122" s="27">
        <f ca="1" t="shared" si="7"/>
        <v>1</v>
      </c>
      <c r="R122" s="29" t="s">
        <v>157</v>
      </c>
    </row>
    <row r="123" customHeight="1" spans="1:18">
      <c r="A123" s="23" t="s">
        <v>100</v>
      </c>
      <c r="B123" s="23" t="s">
        <v>133</v>
      </c>
      <c r="C123" s="34" t="s">
        <v>380</v>
      </c>
      <c r="D123" s="55" t="s">
        <v>381</v>
      </c>
      <c r="E123" s="55">
        <v>59</v>
      </c>
      <c r="F123" s="24" t="s">
        <v>136</v>
      </c>
      <c r="G123" s="9">
        <v>46135</v>
      </c>
      <c r="H123" s="23" t="s">
        <v>142</v>
      </c>
      <c r="I123" s="24" t="s">
        <v>329</v>
      </c>
      <c r="K123" s="24" t="s">
        <v>31</v>
      </c>
      <c r="L123" s="9"/>
      <c r="M123" s="9"/>
      <c r="N123" s="27" t="str">
        <f ca="1" t="shared" si="6"/>
        <v>国内无查验</v>
      </c>
      <c r="O123" s="25">
        <v>46144</v>
      </c>
      <c r="P123" s="28">
        <v>46145</v>
      </c>
      <c r="Q123" s="27">
        <f ca="1" t="shared" si="7"/>
        <v>1</v>
      </c>
    </row>
    <row r="124" customHeight="1" spans="1:18">
      <c r="A124" s="23" t="s">
        <v>100</v>
      </c>
      <c r="B124" s="23" t="s">
        <v>133</v>
      </c>
      <c r="C124" s="34" t="s">
        <v>382</v>
      </c>
      <c r="D124" s="55" t="s">
        <v>383</v>
      </c>
      <c r="E124" s="55">
        <v>59</v>
      </c>
      <c r="F124" s="24" t="s">
        <v>136</v>
      </c>
      <c r="G124" s="9">
        <v>46135</v>
      </c>
      <c r="H124" s="23" t="s">
        <v>142</v>
      </c>
      <c r="I124" s="24" t="s">
        <v>329</v>
      </c>
      <c r="K124" s="24" t="s">
        <v>31</v>
      </c>
      <c r="L124" s="9"/>
      <c r="M124" s="9"/>
      <c r="N124" s="27" t="str">
        <f ca="1" t="shared" si="6"/>
        <v>国内无查验</v>
      </c>
      <c r="O124" s="25">
        <v>46144</v>
      </c>
      <c r="P124" s="28">
        <v>46145</v>
      </c>
      <c r="Q124" s="27">
        <f ca="1" t="shared" si="7"/>
        <v>1</v>
      </c>
    </row>
    <row r="125" customHeight="1" spans="1:18">
      <c r="A125" s="23" t="s">
        <v>100</v>
      </c>
      <c r="B125" s="23" t="s">
        <v>133</v>
      </c>
      <c r="C125" s="34" t="s">
        <v>384</v>
      </c>
      <c r="D125" s="55" t="s">
        <v>385</v>
      </c>
      <c r="E125" s="55">
        <v>59</v>
      </c>
      <c r="F125" s="24" t="s">
        <v>136</v>
      </c>
      <c r="G125" s="9">
        <v>46135</v>
      </c>
      <c r="H125" s="23" t="s">
        <v>142</v>
      </c>
      <c r="I125" s="24" t="s">
        <v>329</v>
      </c>
      <c r="K125" s="24" t="s">
        <v>31</v>
      </c>
      <c r="L125" s="9"/>
      <c r="M125" s="9"/>
      <c r="N125" s="27" t="str">
        <f ca="1" t="shared" si="6"/>
        <v>国内无查验</v>
      </c>
      <c r="O125" s="25">
        <v>46144</v>
      </c>
      <c r="P125" s="28">
        <v>46145</v>
      </c>
      <c r="Q125" s="27">
        <f ca="1" t="shared" si="7"/>
        <v>1</v>
      </c>
    </row>
    <row r="126" customHeight="1" spans="1:18">
      <c r="A126" s="23" t="s">
        <v>100</v>
      </c>
      <c r="B126" s="23" t="s">
        <v>133</v>
      </c>
      <c r="C126" s="34" t="s">
        <v>386</v>
      </c>
      <c r="D126" s="55" t="s">
        <v>387</v>
      </c>
      <c r="E126" s="55">
        <v>59</v>
      </c>
      <c r="F126" s="24" t="s">
        <v>136</v>
      </c>
      <c r="G126" s="9">
        <v>46135</v>
      </c>
      <c r="H126" s="23" t="s">
        <v>142</v>
      </c>
      <c r="I126" s="24" t="s">
        <v>329</v>
      </c>
      <c r="K126" s="24" t="s">
        <v>31</v>
      </c>
      <c r="L126" s="9"/>
      <c r="M126" s="9"/>
      <c r="N126" s="27" t="str">
        <f ca="1" t="shared" si="6"/>
        <v>国内无查验</v>
      </c>
      <c r="O126" s="25">
        <v>46144</v>
      </c>
      <c r="P126" s="28">
        <v>46145</v>
      </c>
      <c r="Q126" s="27">
        <f ca="1" t="shared" si="7"/>
        <v>1</v>
      </c>
    </row>
    <row r="127" customHeight="1" spans="1:18">
      <c r="A127" s="23" t="s">
        <v>100</v>
      </c>
      <c r="B127" s="23" t="s">
        <v>133</v>
      </c>
      <c r="C127" s="34" t="s">
        <v>388</v>
      </c>
      <c r="D127" s="55" t="s">
        <v>389</v>
      </c>
      <c r="E127" s="55">
        <v>32</v>
      </c>
      <c r="F127" s="24" t="s">
        <v>136</v>
      </c>
      <c r="G127" s="9">
        <v>46135</v>
      </c>
      <c r="H127" s="23" t="s">
        <v>142</v>
      </c>
      <c r="I127" s="24" t="s">
        <v>329</v>
      </c>
      <c r="K127" s="24" t="s">
        <v>31</v>
      </c>
      <c r="L127" s="9"/>
      <c r="M127" s="9"/>
      <c r="N127" s="27" t="str">
        <f ca="1" t="shared" si="6"/>
        <v>国内无查验</v>
      </c>
      <c r="O127" s="25">
        <v>46144</v>
      </c>
      <c r="P127" s="28">
        <v>46145</v>
      </c>
      <c r="Q127" s="27">
        <f ca="1" t="shared" si="7"/>
        <v>1</v>
      </c>
    </row>
    <row r="128" customHeight="1" spans="1:18">
      <c r="A128" s="23" t="s">
        <v>100</v>
      </c>
      <c r="B128" s="23" t="s">
        <v>101</v>
      </c>
      <c r="C128" s="34" t="s">
        <v>390</v>
      </c>
      <c r="D128" s="55" t="s">
        <v>391</v>
      </c>
      <c r="E128" s="55">
        <v>3440</v>
      </c>
      <c r="F128" s="24" t="s">
        <v>278</v>
      </c>
      <c r="G128" s="9">
        <v>46135</v>
      </c>
      <c r="H128" s="23" t="s">
        <v>142</v>
      </c>
      <c r="I128" s="24" t="s">
        <v>329</v>
      </c>
      <c r="K128" s="24" t="s">
        <v>31</v>
      </c>
      <c r="L128" s="9"/>
      <c r="M128" s="9"/>
      <c r="N128" s="27" t="str">
        <f ca="1" t="shared" si="6"/>
        <v>国内无查验</v>
      </c>
      <c r="O128" s="25">
        <v>46144</v>
      </c>
      <c r="P128" s="28">
        <v>46145</v>
      </c>
      <c r="Q128" s="27">
        <f ca="1" t="shared" si="7"/>
        <v>1</v>
      </c>
    </row>
    <row r="129" customHeight="1" spans="1:22">
      <c r="A129" s="23" t="s">
        <v>100</v>
      </c>
      <c r="B129" s="23" t="s">
        <v>101</v>
      </c>
      <c r="C129" s="34" t="s">
        <v>392</v>
      </c>
      <c r="D129" s="56" t="s">
        <v>393</v>
      </c>
      <c r="E129" s="56">
        <v>2026</v>
      </c>
      <c r="F129" s="24" t="s">
        <v>394</v>
      </c>
      <c r="G129" s="9">
        <v>46142</v>
      </c>
      <c r="H129" s="57" t="s">
        <v>142</v>
      </c>
      <c r="I129" s="57" t="s">
        <v>341</v>
      </c>
      <c r="J129" s="24" t="s">
        <v>208</v>
      </c>
      <c r="K129" s="24" t="s">
        <v>31</v>
      </c>
      <c r="L129" s="9">
        <v>46147</v>
      </c>
      <c r="M129" s="9">
        <v>46153</v>
      </c>
      <c r="N129" s="27">
        <f ca="1" t="shared" si="6"/>
        <v>6</v>
      </c>
      <c r="O129" s="9"/>
      <c r="P129" s="9"/>
      <c r="Q129" s="27" t="str">
        <f ca="1" t="shared" si="7"/>
        <v>国外无查验</v>
      </c>
      <c r="R129" s="29" t="s">
        <v>395</v>
      </c>
    </row>
    <row r="130" customHeight="1" spans="1:22">
      <c r="A130" s="23" t="s">
        <v>100</v>
      </c>
      <c r="B130" s="23" t="s">
        <v>101</v>
      </c>
      <c r="C130" s="34" t="s">
        <v>396</v>
      </c>
      <c r="D130" s="56" t="s">
        <v>397</v>
      </c>
      <c r="E130" s="56">
        <v>1612</v>
      </c>
      <c r="F130" s="24" t="s">
        <v>394</v>
      </c>
      <c r="G130" s="9">
        <v>46142</v>
      </c>
      <c r="H130" s="57" t="s">
        <v>142</v>
      </c>
      <c r="I130" s="57" t="s">
        <v>341</v>
      </c>
      <c r="J130" s="24"/>
      <c r="K130" s="24" t="s">
        <v>31</v>
      </c>
      <c r="L130" s="9">
        <v>46147</v>
      </c>
      <c r="M130" s="9">
        <v>46153</v>
      </c>
      <c r="N130" s="27">
        <f ca="1" t="shared" si="6"/>
        <v>6</v>
      </c>
      <c r="O130" s="9"/>
      <c r="P130" s="9"/>
      <c r="Q130" s="27" t="str">
        <f ca="1" t="shared" si="7"/>
        <v>国外无查验</v>
      </c>
      <c r="R130" s="29"/>
    </row>
    <row r="131" customHeight="1" spans="1:22">
      <c r="A131" s="23" t="s">
        <v>100</v>
      </c>
      <c r="B131" s="23" t="s">
        <v>101</v>
      </c>
      <c r="C131" s="34" t="s">
        <v>398</v>
      </c>
      <c r="D131" s="7" t="s">
        <v>399</v>
      </c>
      <c r="E131" s="56">
        <v>1651</v>
      </c>
      <c r="F131" s="24" t="s">
        <v>394</v>
      </c>
      <c r="G131" s="9">
        <v>46142</v>
      </c>
      <c r="H131" s="57" t="s">
        <v>142</v>
      </c>
      <c r="I131" s="57" t="s">
        <v>143</v>
      </c>
      <c r="J131" s="24"/>
      <c r="K131" s="24" t="s">
        <v>31</v>
      </c>
      <c r="L131" s="9">
        <v>46148</v>
      </c>
      <c r="M131" s="9">
        <v>46149</v>
      </c>
      <c r="N131" s="27">
        <f ca="1" t="shared" ref="N131:N159" si="8">IF(AND(M131="",L131=""),"国内无查验",IF(M131="",TODAY()-L131,M131-L131))</f>
        <v>1</v>
      </c>
      <c r="O131" s="9"/>
      <c r="P131" s="9"/>
      <c r="Q131" s="27" t="str">
        <f ca="1" t="shared" ref="Q131:Q168" si="9">IF(AND(P131="",O131=""),"国外无查验",IF(P131="",TODAY()-O131,P131-O131))</f>
        <v>国外无查验</v>
      </c>
      <c r="R131" s="29" t="s">
        <v>400</v>
      </c>
    </row>
    <row r="132" customHeight="1" spans="1:22">
      <c r="A132" s="23" t="s">
        <v>100</v>
      </c>
      <c r="B132" s="23" t="s">
        <v>101</v>
      </c>
      <c r="C132" s="34" t="s">
        <v>401</v>
      </c>
      <c r="D132" s="7" t="s">
        <v>402</v>
      </c>
      <c r="E132" s="56">
        <v>1870</v>
      </c>
      <c r="F132" s="24" t="s">
        <v>394</v>
      </c>
      <c r="G132" s="9">
        <v>46142</v>
      </c>
      <c r="H132" s="57" t="s">
        <v>142</v>
      </c>
      <c r="I132" s="57" t="s">
        <v>143</v>
      </c>
      <c r="J132" s="24"/>
      <c r="K132" s="24" t="s">
        <v>31</v>
      </c>
      <c r="L132" s="9">
        <v>46148</v>
      </c>
      <c r="M132" s="9">
        <v>46149</v>
      </c>
      <c r="N132" s="27">
        <f ca="1" t="shared" si="8"/>
        <v>1</v>
      </c>
      <c r="O132" s="9"/>
      <c r="P132" s="9"/>
      <c r="Q132" s="27" t="str">
        <f ca="1" t="shared" si="9"/>
        <v>国外无查验</v>
      </c>
      <c r="R132" s="29"/>
    </row>
    <row r="133" customHeight="1" spans="1:22">
      <c r="A133" s="23" t="s">
        <v>100</v>
      </c>
      <c r="B133" s="23" t="s">
        <v>213</v>
      </c>
      <c r="C133" s="34" t="s">
        <v>403</v>
      </c>
      <c r="D133" s="7" t="s">
        <v>404</v>
      </c>
      <c r="E133" s="7">
        <v>2225</v>
      </c>
      <c r="F133" s="24" t="s">
        <v>405</v>
      </c>
      <c r="G133" s="9">
        <v>46141</v>
      </c>
      <c r="H133" s="23" t="s">
        <v>59</v>
      </c>
      <c r="I133" s="24" t="s">
        <v>406</v>
      </c>
      <c r="J133" s="24" t="s">
        <v>218</v>
      </c>
      <c r="K133" s="24" t="s">
        <v>31</v>
      </c>
      <c r="L133" s="9">
        <v>46148</v>
      </c>
      <c r="M133" s="9">
        <v>46148</v>
      </c>
      <c r="N133" s="27">
        <f ca="1" t="shared" si="8"/>
        <v>0</v>
      </c>
      <c r="O133" s="9"/>
      <c r="P133" s="9"/>
      <c r="Q133" s="27" t="str">
        <f ca="1" t="shared" si="9"/>
        <v>国外无查验</v>
      </c>
      <c r="R133" s="29" t="s">
        <v>157</v>
      </c>
    </row>
    <row r="134" customHeight="1" spans="1:22">
      <c r="A134" s="23" t="s">
        <v>100</v>
      </c>
      <c r="B134" s="23" t="s">
        <v>101</v>
      </c>
      <c r="C134" s="34" t="s">
        <v>407</v>
      </c>
      <c r="D134" s="7" t="s">
        <v>408</v>
      </c>
      <c r="E134" s="7">
        <v>1201</v>
      </c>
      <c r="F134" s="24" t="s">
        <v>409</v>
      </c>
      <c r="G134" s="9">
        <v>46142</v>
      </c>
      <c r="H134" s="23" t="s">
        <v>142</v>
      </c>
      <c r="I134" s="24" t="s">
        <v>329</v>
      </c>
      <c r="J134" s="24" t="s">
        <v>364</v>
      </c>
      <c r="K134" s="24" t="s">
        <v>31</v>
      </c>
      <c r="L134" s="9"/>
      <c r="M134" s="9"/>
      <c r="N134" s="27" t="str">
        <f ca="1" t="shared" si="8"/>
        <v>国内无查验</v>
      </c>
      <c r="O134" s="25">
        <v>46151</v>
      </c>
      <c r="P134" s="28">
        <v>46155</v>
      </c>
      <c r="Q134" s="27">
        <f ca="1" t="shared" si="9"/>
        <v>4</v>
      </c>
      <c r="R134" s="29" t="s">
        <v>410</v>
      </c>
    </row>
    <row r="135" customHeight="1" spans="1:22">
      <c r="A135" s="23" t="s">
        <v>100</v>
      </c>
      <c r="B135" s="23" t="s">
        <v>101</v>
      </c>
      <c r="C135" s="34" t="s">
        <v>411</v>
      </c>
      <c r="D135" s="7" t="s">
        <v>412</v>
      </c>
      <c r="E135" s="7">
        <v>1161</v>
      </c>
      <c r="F135" s="24" t="s">
        <v>409</v>
      </c>
      <c r="G135" s="9">
        <v>46142</v>
      </c>
      <c r="H135" s="23" t="s">
        <v>142</v>
      </c>
      <c r="I135" s="24" t="s">
        <v>329</v>
      </c>
      <c r="K135" s="24" t="s">
        <v>31</v>
      </c>
      <c r="L135" s="9"/>
      <c r="M135" s="9"/>
      <c r="N135" s="27" t="str">
        <f ca="1" t="shared" si="8"/>
        <v>国内无查验</v>
      </c>
      <c r="O135" s="25">
        <v>46151</v>
      </c>
      <c r="P135" s="28">
        <v>46155</v>
      </c>
      <c r="Q135" s="27">
        <f ca="1" t="shared" si="9"/>
        <v>4</v>
      </c>
      <c r="R135" s="51"/>
    </row>
    <row r="136" customHeight="1" spans="1:22">
      <c r="A136" s="23" t="s">
        <v>100</v>
      </c>
      <c r="B136" s="23" t="s">
        <v>101</v>
      </c>
      <c r="C136" s="34" t="s">
        <v>413</v>
      </c>
      <c r="D136" s="7" t="s">
        <v>414</v>
      </c>
      <c r="E136" s="7">
        <v>1161</v>
      </c>
      <c r="F136" s="24" t="s">
        <v>409</v>
      </c>
      <c r="G136" s="9">
        <v>46142</v>
      </c>
      <c r="H136" s="23" t="s">
        <v>142</v>
      </c>
      <c r="I136" s="24" t="s">
        <v>329</v>
      </c>
      <c r="K136" s="24" t="s">
        <v>31</v>
      </c>
      <c r="L136" s="9"/>
      <c r="M136" s="9"/>
      <c r="N136" s="27" t="str">
        <f ca="1" t="shared" si="8"/>
        <v>国内无查验</v>
      </c>
      <c r="O136" s="25">
        <v>46151</v>
      </c>
      <c r="P136" s="28">
        <v>46155</v>
      </c>
      <c r="Q136" s="27">
        <f ca="1" t="shared" si="9"/>
        <v>4</v>
      </c>
      <c r="R136" s="51"/>
    </row>
    <row r="137" customHeight="1" spans="1:22">
      <c r="A137" s="23" t="s">
        <v>100</v>
      </c>
      <c r="B137" s="23" t="s">
        <v>101</v>
      </c>
      <c r="C137" s="34" t="s">
        <v>415</v>
      </c>
      <c r="D137" s="7" t="s">
        <v>416</v>
      </c>
      <c r="E137" s="7">
        <v>2474</v>
      </c>
      <c r="F137" s="24" t="s">
        <v>141</v>
      </c>
      <c r="G137" s="9">
        <v>46137</v>
      </c>
      <c r="H137" s="23" t="s">
        <v>142</v>
      </c>
      <c r="I137" s="24" t="s">
        <v>143</v>
      </c>
      <c r="J137" s="35" t="s">
        <v>417</v>
      </c>
      <c r="K137" s="24" t="s">
        <v>31</v>
      </c>
      <c r="L137" s="9"/>
      <c r="M137" s="9"/>
      <c r="N137" s="27" t="str">
        <f ca="1" t="shared" si="8"/>
        <v>国内无查验</v>
      </c>
      <c r="O137" s="25">
        <v>46151</v>
      </c>
      <c r="P137" s="28">
        <v>46162</v>
      </c>
      <c r="Q137" s="27">
        <f ca="1" t="shared" si="9"/>
        <v>11</v>
      </c>
      <c r="R137" s="29" t="s">
        <v>418</v>
      </c>
    </row>
    <row r="138" customHeight="1" spans="1:22">
      <c r="A138" s="23" t="s">
        <v>100</v>
      </c>
      <c r="B138" s="23" t="s">
        <v>101</v>
      </c>
      <c r="C138" s="34" t="s">
        <v>419</v>
      </c>
      <c r="D138" s="7" t="s">
        <v>420</v>
      </c>
      <c r="E138" s="7">
        <v>2360</v>
      </c>
      <c r="F138" s="24" t="s">
        <v>141</v>
      </c>
      <c r="G138" s="9">
        <v>46137</v>
      </c>
      <c r="H138" s="23" t="s">
        <v>142</v>
      </c>
      <c r="I138" s="24" t="s">
        <v>143</v>
      </c>
      <c r="J138" s="40"/>
      <c r="K138" s="24" t="s">
        <v>31</v>
      </c>
      <c r="L138" s="9"/>
      <c r="M138" s="9"/>
      <c r="N138" s="27" t="str">
        <f ca="1" t="shared" si="8"/>
        <v>国内无查验</v>
      </c>
      <c r="O138" s="25">
        <v>46151</v>
      </c>
      <c r="P138" s="28">
        <v>46162</v>
      </c>
      <c r="Q138" s="27">
        <f ca="1" t="shared" si="9"/>
        <v>11</v>
      </c>
      <c r="R138" s="51"/>
    </row>
    <row r="139" customHeight="1" spans="1:22">
      <c r="A139" s="23" t="s">
        <v>100</v>
      </c>
      <c r="B139" s="23" t="s">
        <v>101</v>
      </c>
      <c r="C139" s="34" t="s">
        <v>421</v>
      </c>
      <c r="D139" s="7" t="s">
        <v>422</v>
      </c>
      <c r="E139" s="7">
        <v>3176</v>
      </c>
      <c r="F139" s="24" t="s">
        <v>141</v>
      </c>
      <c r="G139" s="9">
        <v>46137</v>
      </c>
      <c r="H139" s="23" t="s">
        <v>142</v>
      </c>
      <c r="I139" s="24" t="s">
        <v>198</v>
      </c>
      <c r="J139" s="40"/>
      <c r="K139" s="24" t="s">
        <v>31</v>
      </c>
      <c r="L139" s="9"/>
      <c r="M139" s="9"/>
      <c r="N139" s="27" t="str">
        <f ca="1" t="shared" ref="N139:N168" si="10">IF(AND(M139="",L139=""),"国内无查验",IF(M139="",TODAY()-L139,M139-L139))</f>
        <v>国内无查验</v>
      </c>
      <c r="O139" s="25">
        <v>46151</v>
      </c>
      <c r="P139" s="28">
        <v>46162</v>
      </c>
      <c r="Q139" s="27">
        <f ca="1" t="shared" si="9"/>
        <v>11</v>
      </c>
      <c r="R139" s="51"/>
    </row>
    <row r="140" ht="47.25" customHeight="1" spans="1:22">
      <c r="A140" s="23" t="s">
        <v>23</v>
      </c>
      <c r="B140" s="23" t="s">
        <v>67</v>
      </c>
      <c r="C140" s="34" t="s">
        <v>423</v>
      </c>
      <c r="D140" s="24" t="s">
        <v>424</v>
      </c>
      <c r="E140" s="7">
        <v>2295</v>
      </c>
      <c r="F140" s="24" t="s">
        <v>265</v>
      </c>
      <c r="G140" s="9">
        <v>46136</v>
      </c>
      <c r="H140" s="23" t="s">
        <v>142</v>
      </c>
      <c r="I140" s="24" t="s">
        <v>425</v>
      </c>
      <c r="J140" s="58" t="s">
        <v>426</v>
      </c>
      <c r="K140" s="24" t="s">
        <v>42</v>
      </c>
      <c r="L140" s="9"/>
      <c r="M140" s="23"/>
      <c r="N140" s="27" t="str">
        <f ca="1" t="shared" si="10"/>
        <v>国内无查验</v>
      </c>
      <c r="O140" s="25">
        <v>46151</v>
      </c>
      <c r="P140" s="23"/>
      <c r="Q140" s="27">
        <f ca="1" t="shared" si="9"/>
        <v>30</v>
      </c>
      <c r="R140" s="32" t="s">
        <v>427</v>
      </c>
      <c r="V140" s="7" t="s">
        <v>46</v>
      </c>
    </row>
    <row r="141" customHeight="1" spans="1:22">
      <c r="A141" s="23" t="s">
        <v>55</v>
      </c>
      <c r="B141" s="57" t="s">
        <v>319</v>
      </c>
      <c r="C141" s="34" t="s">
        <v>428</v>
      </c>
      <c r="D141" s="7" t="s">
        <v>429</v>
      </c>
      <c r="E141" s="7">
        <v>272</v>
      </c>
      <c r="F141" s="8" t="str">
        <f>_xlfn.DISPIMG("ID_27FC3A75D7C74ACF92F877FABF3AB021",1)</f>
        <v>=DISPIMG("ID_27FC3A75D7C74ACF92F877FABF3AB021",1)</v>
      </c>
      <c r="G141" s="59">
        <v>46151</v>
      </c>
      <c r="H141" s="2" t="s">
        <v>59</v>
      </c>
      <c r="I141" s="2" t="s">
        <v>323</v>
      </c>
      <c r="J141" s="24" t="s">
        <v>430</v>
      </c>
      <c r="K141" s="24" t="s">
        <v>31</v>
      </c>
      <c r="L141" s="9">
        <v>46154</v>
      </c>
      <c r="M141" s="9">
        <v>46156</v>
      </c>
      <c r="N141" s="27">
        <f ca="1" t="shared" si="10"/>
        <v>2</v>
      </c>
      <c r="O141" s="9"/>
      <c r="P141" s="26"/>
      <c r="Q141" s="27" t="str">
        <f ca="1" t="shared" si="9"/>
        <v>国外无查验</v>
      </c>
      <c r="R141" s="29" t="s">
        <v>157</v>
      </c>
    </row>
    <row r="142" customHeight="1" spans="1:22">
      <c r="A142" s="23" t="s">
        <v>100</v>
      </c>
      <c r="B142" s="23" t="s">
        <v>101</v>
      </c>
      <c r="C142" s="34" t="s">
        <v>431</v>
      </c>
      <c r="D142" s="7" t="s">
        <v>432</v>
      </c>
      <c r="E142" s="7">
        <v>933</v>
      </c>
      <c r="F142" s="24" t="s">
        <v>433</v>
      </c>
      <c r="G142" s="59">
        <v>46150</v>
      </c>
      <c r="H142" s="2" t="s">
        <v>59</v>
      </c>
      <c r="I142" s="24" t="s">
        <v>358</v>
      </c>
      <c r="J142" s="24" t="s">
        <v>434</v>
      </c>
      <c r="K142" s="24" t="s">
        <v>31</v>
      </c>
      <c r="L142" s="9"/>
      <c r="M142" s="9"/>
      <c r="N142" s="27" t="str">
        <f ca="1" t="shared" si="10"/>
        <v>国内无查验</v>
      </c>
      <c r="O142" s="25">
        <v>46156</v>
      </c>
      <c r="P142" s="28">
        <v>46156</v>
      </c>
      <c r="Q142" s="27">
        <f ca="1" t="shared" si="9"/>
        <v>0</v>
      </c>
      <c r="R142" s="29" t="s">
        <v>157</v>
      </c>
    </row>
    <row r="143" customHeight="1" spans="1:22">
      <c r="A143" s="23" t="s">
        <v>100</v>
      </c>
      <c r="B143" s="23" t="s">
        <v>101</v>
      </c>
      <c r="C143" s="34" t="s">
        <v>435</v>
      </c>
      <c r="D143" s="7" t="s">
        <v>436</v>
      </c>
      <c r="E143" s="7">
        <v>857</v>
      </c>
      <c r="F143" s="24" t="s">
        <v>433</v>
      </c>
      <c r="G143" s="59">
        <v>46150</v>
      </c>
      <c r="H143" s="2" t="s">
        <v>59</v>
      </c>
      <c r="I143" s="24" t="s">
        <v>358</v>
      </c>
      <c r="K143" s="24" t="s">
        <v>31</v>
      </c>
      <c r="L143" s="9"/>
      <c r="M143" s="9"/>
      <c r="N143" s="27" t="str">
        <f ca="1" t="shared" si="10"/>
        <v>国内无查验</v>
      </c>
      <c r="O143" s="25">
        <v>46156</v>
      </c>
      <c r="P143" s="28">
        <v>46156</v>
      </c>
      <c r="Q143" s="27">
        <f ca="1" t="shared" si="9"/>
        <v>0</v>
      </c>
    </row>
    <row r="144" customHeight="1" spans="1:22">
      <c r="A144" s="23" t="s">
        <v>100</v>
      </c>
      <c r="B144" s="23" t="s">
        <v>213</v>
      </c>
      <c r="C144" s="34" t="s">
        <v>437</v>
      </c>
      <c r="D144" s="24" t="s">
        <v>438</v>
      </c>
      <c r="E144" s="7">
        <v>2245</v>
      </c>
      <c r="F144" s="24" t="s">
        <v>405</v>
      </c>
      <c r="G144" s="59">
        <v>46157</v>
      </c>
      <c r="H144" s="23" t="s">
        <v>305</v>
      </c>
      <c r="I144" s="24" t="s">
        <v>439</v>
      </c>
      <c r="J144" s="24" t="s">
        <v>430</v>
      </c>
      <c r="K144" s="24" t="s">
        <v>31</v>
      </c>
      <c r="L144" s="9">
        <v>46161</v>
      </c>
      <c r="M144" s="9">
        <v>46162</v>
      </c>
      <c r="N144" s="27">
        <f ca="1" t="shared" si="10"/>
        <v>1</v>
      </c>
      <c r="O144" s="9"/>
      <c r="P144" s="9"/>
      <c r="Q144" s="27" t="str">
        <f ca="1" t="shared" si="9"/>
        <v>国外无查验</v>
      </c>
      <c r="R144" s="29" t="s">
        <v>440</v>
      </c>
    </row>
    <row r="145" customHeight="1" spans="1:24">
      <c r="A145" s="23" t="s">
        <v>100</v>
      </c>
      <c r="B145" s="23" t="s">
        <v>101</v>
      </c>
      <c r="C145" s="34" t="s">
        <v>441</v>
      </c>
      <c r="D145" s="7" t="s">
        <v>442</v>
      </c>
      <c r="E145" s="7">
        <v>1748</v>
      </c>
      <c r="F145" s="24" t="s">
        <v>443</v>
      </c>
      <c r="G145" s="59">
        <v>46157</v>
      </c>
      <c r="H145" s="23" t="s">
        <v>305</v>
      </c>
      <c r="I145" s="24" t="s">
        <v>444</v>
      </c>
      <c r="J145" s="24" t="s">
        <v>445</v>
      </c>
      <c r="K145" s="24" t="s">
        <v>31</v>
      </c>
      <c r="L145" s="9">
        <v>46162</v>
      </c>
      <c r="M145" s="9">
        <v>46168</v>
      </c>
      <c r="N145" s="27">
        <f ca="1" t="shared" si="10"/>
        <v>6</v>
      </c>
      <c r="O145" s="9"/>
      <c r="P145" s="23"/>
      <c r="Q145" s="27" t="str">
        <f ca="1" t="shared" si="9"/>
        <v>国外无查验</v>
      </c>
      <c r="R145" s="29" t="s">
        <v>446</v>
      </c>
      <c r="V145" s="7" t="s">
        <v>31</v>
      </c>
      <c r="W145" s="9">
        <v>46188</v>
      </c>
    </row>
    <row r="146" customHeight="1" spans="1:24">
      <c r="A146" s="23" t="s">
        <v>100</v>
      </c>
      <c r="B146" s="23" t="s">
        <v>101</v>
      </c>
      <c r="C146" s="34" t="s">
        <v>447</v>
      </c>
      <c r="D146" s="7" t="s">
        <v>448</v>
      </c>
      <c r="E146" s="7">
        <v>2346</v>
      </c>
      <c r="F146" s="24" t="s">
        <v>443</v>
      </c>
      <c r="G146" s="59">
        <v>46157</v>
      </c>
      <c r="H146" s="23" t="s">
        <v>305</v>
      </c>
      <c r="I146" s="24" t="s">
        <v>444</v>
      </c>
      <c r="K146" s="24" t="s">
        <v>31</v>
      </c>
      <c r="L146" s="9">
        <v>46162</v>
      </c>
      <c r="M146" s="9">
        <v>46168</v>
      </c>
      <c r="N146" s="27">
        <f ca="1" t="shared" si="10"/>
        <v>6</v>
      </c>
      <c r="O146" s="9"/>
      <c r="P146" s="23"/>
      <c r="Q146" s="27" t="str">
        <f ca="1" t="shared" si="9"/>
        <v>国外无查验</v>
      </c>
      <c r="R146" s="29"/>
      <c r="V146" s="7" t="s">
        <v>31</v>
      </c>
      <c r="W146" s="9">
        <v>46188</v>
      </c>
    </row>
    <row r="147" customHeight="1" spans="1:24">
      <c r="A147" s="23" t="s">
        <v>100</v>
      </c>
      <c r="B147" s="23" t="s">
        <v>101</v>
      </c>
      <c r="C147" s="34" t="s">
        <v>449</v>
      </c>
      <c r="D147" s="7" t="s">
        <v>450</v>
      </c>
      <c r="E147" s="7">
        <v>2630</v>
      </c>
      <c r="F147" s="24" t="s">
        <v>443</v>
      </c>
      <c r="G147" s="59">
        <v>46157</v>
      </c>
      <c r="H147" s="23" t="s">
        <v>305</v>
      </c>
      <c r="I147" s="24" t="s">
        <v>451</v>
      </c>
      <c r="K147" s="24" t="s">
        <v>31</v>
      </c>
      <c r="L147" s="9">
        <v>46162</v>
      </c>
      <c r="M147" s="9">
        <v>46168</v>
      </c>
      <c r="N147" s="27">
        <f ca="1" t="shared" si="10"/>
        <v>6</v>
      </c>
      <c r="O147" s="9"/>
      <c r="P147" s="23"/>
      <c r="Q147" s="27" t="str">
        <f ca="1" t="shared" si="9"/>
        <v>国外无查验</v>
      </c>
      <c r="R147" s="29"/>
      <c r="V147" s="7" t="s">
        <v>31</v>
      </c>
      <c r="W147" s="9">
        <v>46188</v>
      </c>
    </row>
    <row r="148" customHeight="1" spans="1:24">
      <c r="A148" s="23" t="s">
        <v>100</v>
      </c>
      <c r="B148" s="23" t="s">
        <v>101</v>
      </c>
      <c r="C148" s="34" t="s">
        <v>452</v>
      </c>
      <c r="D148" s="7" t="s">
        <v>453</v>
      </c>
      <c r="E148" s="7">
        <v>2352</v>
      </c>
      <c r="F148" s="24" t="s">
        <v>443</v>
      </c>
      <c r="G148" s="59">
        <v>46157</v>
      </c>
      <c r="H148" s="23" t="s">
        <v>305</v>
      </c>
      <c r="I148" s="24" t="s">
        <v>451</v>
      </c>
      <c r="K148" s="24" t="s">
        <v>31</v>
      </c>
      <c r="L148" s="9">
        <v>46162</v>
      </c>
      <c r="M148" s="9">
        <v>46168</v>
      </c>
      <c r="N148" s="27">
        <f ca="1" t="shared" si="10"/>
        <v>6</v>
      </c>
      <c r="O148" s="9"/>
      <c r="P148" s="23"/>
      <c r="Q148" s="27" t="str">
        <f ca="1" t="shared" si="9"/>
        <v>国外无查验</v>
      </c>
      <c r="R148" s="29"/>
      <c r="V148" s="7" t="s">
        <v>31</v>
      </c>
      <c r="W148" s="9">
        <v>46188</v>
      </c>
    </row>
    <row r="149" customHeight="1" spans="1:24">
      <c r="A149" s="23" t="s">
        <v>100</v>
      </c>
      <c r="B149" s="23" t="s">
        <v>101</v>
      </c>
      <c r="C149" s="34" t="s">
        <v>454</v>
      </c>
      <c r="D149" s="7" t="s">
        <v>455</v>
      </c>
      <c r="E149" s="7">
        <v>1567</v>
      </c>
      <c r="F149" s="24" t="s">
        <v>456</v>
      </c>
      <c r="G149" s="59">
        <v>46157</v>
      </c>
      <c r="H149" s="23" t="s">
        <v>142</v>
      </c>
      <c r="I149" s="24" t="s">
        <v>198</v>
      </c>
      <c r="J149" s="24" t="s">
        <v>457</v>
      </c>
      <c r="K149" s="24" t="s">
        <v>31</v>
      </c>
      <c r="L149" s="9">
        <v>46160</v>
      </c>
      <c r="M149" s="9">
        <v>46168</v>
      </c>
      <c r="N149" s="27">
        <f ca="1" t="shared" si="10"/>
        <v>8</v>
      </c>
      <c r="O149" s="9"/>
      <c r="P149" s="23"/>
      <c r="Q149" s="27" t="str">
        <f ca="1" t="shared" si="9"/>
        <v>国外无查验</v>
      </c>
      <c r="R149" s="29" t="s">
        <v>446</v>
      </c>
      <c r="V149" s="7" t="s">
        <v>31</v>
      </c>
      <c r="W149" s="9">
        <v>46188</v>
      </c>
    </row>
    <row r="150" customHeight="1" spans="1:24">
      <c r="A150" s="23" t="s">
        <v>100</v>
      </c>
      <c r="B150" s="23" t="s">
        <v>101</v>
      </c>
      <c r="C150" s="34" t="s">
        <v>458</v>
      </c>
      <c r="D150" s="7" t="s">
        <v>459</v>
      </c>
      <c r="E150" s="7">
        <v>1567</v>
      </c>
      <c r="F150" s="24" t="s">
        <v>456</v>
      </c>
      <c r="G150" s="59">
        <v>46157</v>
      </c>
      <c r="H150" s="23" t="s">
        <v>142</v>
      </c>
      <c r="I150" s="24" t="s">
        <v>198</v>
      </c>
      <c r="J150" s="24" t="s">
        <v>457</v>
      </c>
      <c r="K150" s="24" t="s">
        <v>31</v>
      </c>
      <c r="L150" s="9">
        <v>46160</v>
      </c>
      <c r="M150" s="9">
        <v>46168</v>
      </c>
      <c r="N150" s="27">
        <f ca="1" t="shared" si="10"/>
        <v>8</v>
      </c>
      <c r="O150" s="9"/>
      <c r="P150" s="23"/>
      <c r="Q150" s="27" t="str">
        <f ca="1" t="shared" si="9"/>
        <v>国外无查验</v>
      </c>
      <c r="R150" s="51"/>
      <c r="V150" s="7" t="s">
        <v>31</v>
      </c>
      <c r="W150" s="9">
        <v>46188</v>
      </c>
    </row>
    <row r="151" customHeight="1" spans="1:24">
      <c r="A151" s="23" t="s">
        <v>100</v>
      </c>
      <c r="B151" s="23" t="s">
        <v>101</v>
      </c>
      <c r="C151" s="34" t="s">
        <v>460</v>
      </c>
      <c r="D151" s="34" t="s">
        <v>461</v>
      </c>
      <c r="E151" s="34">
        <v>1338</v>
      </c>
      <c r="F151" s="24" t="s">
        <v>241</v>
      </c>
      <c r="G151" s="59">
        <v>46162</v>
      </c>
      <c r="H151" s="23" t="s">
        <v>462</v>
      </c>
      <c r="I151" s="24" t="s">
        <v>463</v>
      </c>
      <c r="J151" s="24" t="s">
        <v>359</v>
      </c>
      <c r="K151" s="24" t="s">
        <v>31</v>
      </c>
      <c r="L151" s="9"/>
      <c r="M151" s="9"/>
      <c r="N151" s="27" t="str">
        <f ca="1" t="shared" si="10"/>
        <v>国内无查验</v>
      </c>
      <c r="O151" s="25">
        <v>46170</v>
      </c>
      <c r="P151" s="25">
        <v>46178</v>
      </c>
      <c r="Q151" s="27">
        <f ca="1" t="shared" si="9"/>
        <v>8</v>
      </c>
      <c r="R151" s="29" t="s">
        <v>157</v>
      </c>
      <c r="V151" s="7" t="s">
        <v>31</v>
      </c>
      <c r="W151" s="9">
        <v>46182</v>
      </c>
    </row>
    <row r="152" customHeight="1" spans="1:24">
      <c r="A152" s="23" t="s">
        <v>100</v>
      </c>
      <c r="B152" s="23" t="s">
        <v>101</v>
      </c>
      <c r="C152" s="34" t="s">
        <v>464</v>
      </c>
      <c r="D152" s="34" t="s">
        <v>465</v>
      </c>
      <c r="E152" s="34">
        <v>1510</v>
      </c>
      <c r="F152" s="24" t="s">
        <v>241</v>
      </c>
      <c r="G152" s="59">
        <v>46162</v>
      </c>
      <c r="H152" s="23" t="s">
        <v>462</v>
      </c>
      <c r="I152" s="24" t="s">
        <v>463</v>
      </c>
      <c r="J152" s="24"/>
      <c r="K152" s="24" t="s">
        <v>31</v>
      </c>
      <c r="L152" s="9"/>
      <c r="M152" s="9"/>
      <c r="N152" s="27" t="str">
        <f ca="1" t="shared" si="10"/>
        <v>国内无查验</v>
      </c>
      <c r="O152" s="25">
        <v>46170</v>
      </c>
      <c r="P152" s="25">
        <v>46178</v>
      </c>
      <c r="Q152" s="27">
        <f ca="1" t="shared" si="9"/>
        <v>8</v>
      </c>
      <c r="R152" s="29"/>
      <c r="V152" s="7" t="s">
        <v>31</v>
      </c>
      <c r="W152" s="9">
        <v>46182</v>
      </c>
    </row>
    <row r="153" customHeight="1" spans="1:24">
      <c r="A153" s="23" t="s">
        <v>100</v>
      </c>
      <c r="B153" s="23" t="s">
        <v>101</v>
      </c>
      <c r="C153" s="34" t="s">
        <v>466</v>
      </c>
      <c r="D153" s="34" t="s">
        <v>467</v>
      </c>
      <c r="E153" s="34">
        <v>1938</v>
      </c>
      <c r="F153" s="24" t="s">
        <v>241</v>
      </c>
      <c r="G153" s="59">
        <v>46162</v>
      </c>
      <c r="H153" s="23" t="s">
        <v>462</v>
      </c>
      <c r="I153" s="24" t="s">
        <v>463</v>
      </c>
      <c r="J153" s="24"/>
      <c r="K153" s="24" t="s">
        <v>31</v>
      </c>
      <c r="L153" s="9"/>
      <c r="M153" s="9"/>
      <c r="N153" s="27" t="str">
        <f ca="1" t="shared" si="10"/>
        <v>国内无查验</v>
      </c>
      <c r="O153" s="25">
        <v>46170</v>
      </c>
      <c r="P153" s="25">
        <v>46178</v>
      </c>
      <c r="Q153" s="27">
        <f ca="1" t="shared" si="9"/>
        <v>8</v>
      </c>
      <c r="R153" s="29"/>
      <c r="V153" s="7" t="s">
        <v>31</v>
      </c>
      <c r="W153" s="9">
        <v>46184</v>
      </c>
    </row>
    <row r="154" customHeight="1" spans="1:24">
      <c r="A154" s="23" t="s">
        <v>100</v>
      </c>
      <c r="B154" s="23" t="s">
        <v>101</v>
      </c>
      <c r="C154" s="34" t="s">
        <v>468</v>
      </c>
      <c r="D154" s="34" t="s">
        <v>469</v>
      </c>
      <c r="E154" s="34">
        <v>2056</v>
      </c>
      <c r="F154" s="24" t="s">
        <v>241</v>
      </c>
      <c r="G154" s="59">
        <v>46162</v>
      </c>
      <c r="H154" s="23" t="s">
        <v>462</v>
      </c>
      <c r="I154" s="24" t="s">
        <v>463</v>
      </c>
      <c r="J154" s="24"/>
      <c r="K154" s="24" t="s">
        <v>31</v>
      </c>
      <c r="L154" s="9"/>
      <c r="M154" s="9"/>
      <c r="N154" s="27" t="str">
        <f ca="1" t="shared" si="10"/>
        <v>国内无查验</v>
      </c>
      <c r="O154" s="25">
        <v>46170</v>
      </c>
      <c r="P154" s="25">
        <v>46178</v>
      </c>
      <c r="Q154" s="27">
        <f ca="1" t="shared" si="9"/>
        <v>8</v>
      </c>
      <c r="R154" s="29"/>
      <c r="V154" s="7" t="s">
        <v>31</v>
      </c>
      <c r="W154" s="9">
        <v>46184</v>
      </c>
    </row>
    <row r="155" customHeight="1" spans="1:24">
      <c r="A155" s="23" t="s">
        <v>100</v>
      </c>
      <c r="B155" s="23" t="s">
        <v>101</v>
      </c>
      <c r="C155" s="34" t="s">
        <v>470</v>
      </c>
      <c r="D155" s="34" t="s">
        <v>471</v>
      </c>
      <c r="E155" s="34">
        <v>1702</v>
      </c>
      <c r="F155" s="24" t="s">
        <v>241</v>
      </c>
      <c r="G155" s="59">
        <v>46162</v>
      </c>
      <c r="H155" s="23" t="s">
        <v>462</v>
      </c>
      <c r="I155" s="24" t="s">
        <v>463</v>
      </c>
      <c r="J155" s="24"/>
      <c r="K155" s="24" t="s">
        <v>31</v>
      </c>
      <c r="N155" s="27" t="str">
        <f ca="1" t="shared" si="10"/>
        <v>国内无查验</v>
      </c>
      <c r="O155" s="25">
        <v>46170</v>
      </c>
      <c r="P155" s="25">
        <v>46178</v>
      </c>
      <c r="Q155" s="27">
        <f ca="1" t="shared" si="9"/>
        <v>8</v>
      </c>
      <c r="R155" s="29"/>
      <c r="V155" s="7" t="s">
        <v>31</v>
      </c>
      <c r="W155" s="9">
        <v>46184</v>
      </c>
    </row>
    <row r="156" customHeight="1" spans="1:24">
      <c r="A156" s="23" t="s">
        <v>100</v>
      </c>
      <c r="B156" s="23" t="s">
        <v>101</v>
      </c>
      <c r="C156" s="60" t="s">
        <v>472</v>
      </c>
      <c r="D156" s="7" t="s">
        <v>473</v>
      </c>
      <c r="E156" s="56">
        <v>363</v>
      </c>
      <c r="F156" s="24" t="s">
        <v>394</v>
      </c>
      <c r="G156" s="59">
        <v>46170</v>
      </c>
      <c r="H156" s="23" t="s">
        <v>28</v>
      </c>
      <c r="I156" s="56" t="s">
        <v>474</v>
      </c>
      <c r="J156" s="24" t="s">
        <v>330</v>
      </c>
      <c r="K156" s="24" t="s">
        <v>31</v>
      </c>
      <c r="N156" s="27" t="str">
        <f ca="1" t="shared" si="10"/>
        <v>国内无查验</v>
      </c>
      <c r="O156" s="25">
        <v>46172</v>
      </c>
      <c r="P156" s="25">
        <v>46175</v>
      </c>
      <c r="Q156" s="27">
        <f ca="1" t="shared" si="9"/>
        <v>3</v>
      </c>
      <c r="R156" s="29" t="s">
        <v>157</v>
      </c>
      <c r="V156" s="7" t="s">
        <v>31</v>
      </c>
      <c r="W156" s="9">
        <v>46176</v>
      </c>
    </row>
    <row r="157" customHeight="1" spans="1:24">
      <c r="A157" s="23" t="s">
        <v>100</v>
      </c>
      <c r="B157" s="23" t="s">
        <v>101</v>
      </c>
      <c r="C157" s="60" t="s">
        <v>475</v>
      </c>
      <c r="D157" s="7" t="s">
        <v>476</v>
      </c>
      <c r="E157" s="56">
        <v>363</v>
      </c>
      <c r="F157" s="24" t="s">
        <v>394</v>
      </c>
      <c r="G157" s="59">
        <v>46170</v>
      </c>
      <c r="H157" s="23" t="s">
        <v>28</v>
      </c>
      <c r="I157" s="56" t="s">
        <v>474</v>
      </c>
      <c r="K157" s="24" t="s">
        <v>31</v>
      </c>
      <c r="N157" s="27" t="str">
        <f ca="1" t="shared" si="10"/>
        <v>国内无查验</v>
      </c>
      <c r="O157" s="25">
        <v>46172</v>
      </c>
      <c r="P157" s="25">
        <v>46175</v>
      </c>
      <c r="Q157" s="27">
        <f ca="1" t="shared" si="9"/>
        <v>3</v>
      </c>
      <c r="V157" s="7" t="s">
        <v>31</v>
      </c>
      <c r="W157" s="9">
        <v>46178</v>
      </c>
    </row>
    <row r="158" customHeight="1" spans="1:24">
      <c r="A158" s="23" t="s">
        <v>100</v>
      </c>
      <c r="B158" s="23" t="s">
        <v>101</v>
      </c>
      <c r="C158" s="61" t="s">
        <v>477</v>
      </c>
      <c r="D158" s="7" t="s">
        <v>478</v>
      </c>
      <c r="E158" s="56">
        <v>363</v>
      </c>
      <c r="F158" s="24" t="s">
        <v>394</v>
      </c>
      <c r="G158" s="59">
        <v>46170</v>
      </c>
      <c r="H158" s="23" t="s">
        <v>28</v>
      </c>
      <c r="I158" s="56" t="s">
        <v>474</v>
      </c>
      <c r="K158" s="24" t="s">
        <v>31</v>
      </c>
      <c r="N158" s="27" t="str">
        <f ca="1" t="shared" si="10"/>
        <v>国内无查验</v>
      </c>
      <c r="O158" s="25">
        <v>46172</v>
      </c>
      <c r="P158" s="25">
        <v>46175</v>
      </c>
      <c r="Q158" s="27">
        <f ca="1" t="shared" si="9"/>
        <v>3</v>
      </c>
      <c r="V158" s="7" t="s">
        <v>31</v>
      </c>
      <c r="W158" s="9">
        <v>46176</v>
      </c>
    </row>
    <row r="159" customHeight="1" spans="1:24">
      <c r="A159" s="23" t="s">
        <v>23</v>
      </c>
      <c r="B159" s="23" t="s">
        <v>319</v>
      </c>
      <c r="C159" s="23" t="s">
        <v>479</v>
      </c>
      <c r="D159" s="23" t="s">
        <v>480</v>
      </c>
      <c r="E159" s="7">
        <v>1519</v>
      </c>
      <c r="F159" s="24" t="s">
        <v>322</v>
      </c>
      <c r="G159" s="59">
        <v>46170</v>
      </c>
      <c r="H159" s="23" t="s">
        <v>462</v>
      </c>
      <c r="I159" s="24" t="s">
        <v>481</v>
      </c>
      <c r="J159" s="24" t="s">
        <v>482</v>
      </c>
      <c r="K159" s="24" t="s">
        <v>31</v>
      </c>
      <c r="L159" s="59">
        <v>46175</v>
      </c>
      <c r="M159" s="59">
        <v>46176</v>
      </c>
      <c r="N159" s="27">
        <f ca="1" t="shared" si="10"/>
        <v>1</v>
      </c>
      <c r="Q159" s="27" t="str">
        <f ca="1" t="shared" si="9"/>
        <v>国外无查验</v>
      </c>
      <c r="R159" s="29" t="s">
        <v>483</v>
      </c>
      <c r="W159" s="9"/>
      <c r="X159" s="33" t="s">
        <v>484</v>
      </c>
    </row>
    <row r="160" customHeight="1" spans="1:24">
      <c r="A160" s="23" t="s">
        <v>100</v>
      </c>
      <c r="B160" s="23" t="s">
        <v>213</v>
      </c>
      <c r="C160" s="7" t="s">
        <v>485</v>
      </c>
      <c r="D160" s="7" t="s">
        <v>486</v>
      </c>
      <c r="E160" s="7">
        <v>1039</v>
      </c>
      <c r="F160" s="24" t="s">
        <v>405</v>
      </c>
      <c r="G160" s="59">
        <v>46170</v>
      </c>
      <c r="H160" s="23" t="s">
        <v>462</v>
      </c>
      <c r="I160" s="24" t="s">
        <v>481</v>
      </c>
      <c r="J160" s="24" t="s">
        <v>482</v>
      </c>
      <c r="K160" s="24" t="s">
        <v>31</v>
      </c>
      <c r="L160" s="59">
        <v>46175</v>
      </c>
      <c r="M160" s="59">
        <v>46176</v>
      </c>
      <c r="N160" s="27">
        <f ca="1" t="shared" si="10"/>
        <v>1</v>
      </c>
      <c r="Q160" s="27" t="str">
        <f ca="1" t="shared" si="9"/>
        <v>国外无查验</v>
      </c>
      <c r="R160" s="29" t="s">
        <v>483</v>
      </c>
      <c r="X160" s="33" t="s">
        <v>484</v>
      </c>
    </row>
    <row r="161" customHeight="1" spans="1:23">
      <c r="A161" s="23" t="s">
        <v>100</v>
      </c>
      <c r="B161" s="23" t="s">
        <v>101</v>
      </c>
      <c r="C161" s="7" t="s">
        <v>487</v>
      </c>
      <c r="D161" s="7" t="s">
        <v>488</v>
      </c>
      <c r="E161" s="7">
        <v>3806</v>
      </c>
      <c r="F161" s="24" t="s">
        <v>110</v>
      </c>
      <c r="G161" s="59">
        <v>46170</v>
      </c>
      <c r="H161" s="23" t="s">
        <v>142</v>
      </c>
      <c r="I161" s="24" t="s">
        <v>489</v>
      </c>
      <c r="J161" s="24" t="s">
        <v>208</v>
      </c>
      <c r="K161" s="24" t="s">
        <v>46</v>
      </c>
      <c r="L161" s="59">
        <v>46176</v>
      </c>
      <c r="N161" s="27">
        <f ca="1" t="shared" si="10"/>
        <v>5</v>
      </c>
      <c r="Q161" s="27" t="str">
        <f ca="1" t="shared" si="9"/>
        <v>国外无查验</v>
      </c>
      <c r="R161" s="29" t="s">
        <v>490</v>
      </c>
      <c r="V161" s="23" t="s">
        <v>31</v>
      </c>
      <c r="W161" s="9">
        <v>46201</v>
      </c>
    </row>
    <row r="162" customHeight="1" spans="1:23">
      <c r="A162" s="23" t="s">
        <v>100</v>
      </c>
      <c r="B162" s="23" t="s">
        <v>101</v>
      </c>
      <c r="C162" s="7" t="s">
        <v>491</v>
      </c>
      <c r="D162" s="7" t="s">
        <v>492</v>
      </c>
      <c r="E162" s="7">
        <v>3126</v>
      </c>
      <c r="F162" s="24" t="s">
        <v>110</v>
      </c>
      <c r="G162" s="59">
        <v>46170</v>
      </c>
      <c r="H162" s="23" t="s">
        <v>142</v>
      </c>
      <c r="I162" s="24" t="s">
        <v>493</v>
      </c>
      <c r="K162" s="24" t="s">
        <v>46</v>
      </c>
      <c r="L162" s="59">
        <v>46176</v>
      </c>
      <c r="N162" s="27">
        <f ca="1" t="shared" si="10"/>
        <v>5</v>
      </c>
      <c r="Q162" s="27" t="str">
        <f ca="1" t="shared" si="9"/>
        <v>国外无查验</v>
      </c>
      <c r="V162" s="23" t="s">
        <v>31</v>
      </c>
      <c r="W162" s="9">
        <v>46201</v>
      </c>
    </row>
    <row r="163" customHeight="1" spans="1:23">
      <c r="A163" s="23" t="s">
        <v>100</v>
      </c>
      <c r="B163" s="23" t="s">
        <v>101</v>
      </c>
      <c r="C163" s="7" t="s">
        <v>494</v>
      </c>
      <c r="D163" s="7" t="s">
        <v>495</v>
      </c>
      <c r="E163" s="7">
        <v>1668</v>
      </c>
      <c r="F163" s="24" t="s">
        <v>110</v>
      </c>
      <c r="G163" s="59">
        <v>46170</v>
      </c>
      <c r="H163" s="23" t="s">
        <v>142</v>
      </c>
      <c r="I163" s="24" t="s">
        <v>489</v>
      </c>
      <c r="K163" s="24" t="s">
        <v>46</v>
      </c>
      <c r="L163" s="59">
        <v>46176</v>
      </c>
      <c r="N163" s="27">
        <f ca="1" t="shared" si="10"/>
        <v>5</v>
      </c>
      <c r="Q163" s="27" t="str">
        <f ca="1" t="shared" si="9"/>
        <v>国外无查验</v>
      </c>
      <c r="V163" s="23" t="s">
        <v>31</v>
      </c>
      <c r="W163" s="9">
        <v>46201</v>
      </c>
    </row>
    <row r="164" customHeight="1" spans="1:23">
      <c r="A164" s="23" t="s">
        <v>23</v>
      </c>
      <c r="B164" s="23" t="s">
        <v>67</v>
      </c>
      <c r="C164" s="7" t="s">
        <v>496</v>
      </c>
      <c r="D164" s="7" t="s">
        <v>497</v>
      </c>
      <c r="E164" s="7">
        <v>622</v>
      </c>
      <c r="F164" s="24" t="s">
        <v>265</v>
      </c>
      <c r="G164" s="59">
        <v>46170</v>
      </c>
      <c r="H164" s="23" t="s">
        <v>142</v>
      </c>
      <c r="I164" s="24" t="s">
        <v>489</v>
      </c>
      <c r="J164" s="24" t="s">
        <v>208</v>
      </c>
      <c r="K164" s="24" t="s">
        <v>46</v>
      </c>
      <c r="L164" s="59">
        <v>46176</v>
      </c>
      <c r="N164" s="27">
        <f ca="1" t="shared" si="10"/>
        <v>5</v>
      </c>
      <c r="Q164" s="27" t="str">
        <f ca="1" t="shared" si="9"/>
        <v>国外无查验</v>
      </c>
      <c r="R164" s="29" t="s">
        <v>498</v>
      </c>
      <c r="V164" s="23" t="s">
        <v>31</v>
      </c>
      <c r="W164" s="25">
        <v>46206</v>
      </c>
    </row>
    <row r="165" customHeight="1" spans="1:23">
      <c r="A165" s="23" t="s">
        <v>23</v>
      </c>
      <c r="B165" s="23" t="s">
        <v>67</v>
      </c>
      <c r="C165" s="7" t="s">
        <v>499</v>
      </c>
      <c r="D165" s="7" t="s">
        <v>500</v>
      </c>
      <c r="E165" s="7">
        <v>622</v>
      </c>
      <c r="F165" s="24" t="s">
        <v>265</v>
      </c>
      <c r="G165" s="59">
        <v>46170</v>
      </c>
      <c r="H165" s="23" t="s">
        <v>142</v>
      </c>
      <c r="I165" s="24" t="s">
        <v>489</v>
      </c>
      <c r="J165" s="24"/>
      <c r="K165" s="24" t="s">
        <v>46</v>
      </c>
      <c r="L165" s="59">
        <v>46176</v>
      </c>
      <c r="N165" s="27">
        <f ca="1" t="shared" si="10"/>
        <v>5</v>
      </c>
      <c r="Q165" s="27" t="str">
        <f ca="1" t="shared" si="9"/>
        <v>国外无查验</v>
      </c>
      <c r="R165" s="29"/>
      <c r="V165" s="23" t="s">
        <v>31</v>
      </c>
      <c r="W165" s="25">
        <v>46206</v>
      </c>
    </row>
    <row r="166" customHeight="1" spans="1:23">
      <c r="A166" s="23" t="s">
        <v>23</v>
      </c>
      <c r="B166" s="23" t="s">
        <v>67</v>
      </c>
      <c r="C166" s="7" t="s">
        <v>501</v>
      </c>
      <c r="D166" s="7" t="s">
        <v>502</v>
      </c>
      <c r="E166" s="7">
        <v>622</v>
      </c>
      <c r="F166" s="24" t="s">
        <v>265</v>
      </c>
      <c r="G166" s="59">
        <v>46170</v>
      </c>
      <c r="H166" s="23" t="s">
        <v>142</v>
      </c>
      <c r="I166" s="24" t="s">
        <v>489</v>
      </c>
      <c r="J166" s="24"/>
      <c r="K166" s="24" t="s">
        <v>46</v>
      </c>
      <c r="L166" s="59">
        <v>46176</v>
      </c>
      <c r="N166" s="27">
        <f ca="1" t="shared" si="10"/>
        <v>5</v>
      </c>
      <c r="Q166" s="27" t="str">
        <f ca="1" t="shared" si="9"/>
        <v>国外无查验</v>
      </c>
      <c r="R166" s="29"/>
      <c r="V166" s="23" t="s">
        <v>31</v>
      </c>
      <c r="W166" s="25">
        <v>46206</v>
      </c>
    </row>
    <row r="167" customHeight="1" spans="1:23">
      <c r="A167" s="23" t="s">
        <v>23</v>
      </c>
      <c r="B167" s="23" t="s">
        <v>67</v>
      </c>
      <c r="C167" s="7" t="s">
        <v>503</v>
      </c>
      <c r="D167" s="7" t="s">
        <v>504</v>
      </c>
      <c r="E167" s="7">
        <v>622</v>
      </c>
      <c r="F167" s="24" t="s">
        <v>265</v>
      </c>
      <c r="G167" s="59">
        <v>46170</v>
      </c>
      <c r="H167" s="23" t="s">
        <v>142</v>
      </c>
      <c r="I167" s="24" t="s">
        <v>489</v>
      </c>
      <c r="J167" s="24"/>
      <c r="K167" s="24" t="s">
        <v>46</v>
      </c>
      <c r="L167" s="59">
        <v>46176</v>
      </c>
      <c r="N167" s="27">
        <f ca="1" t="shared" si="10"/>
        <v>5</v>
      </c>
      <c r="Q167" s="27" t="str">
        <f ca="1" t="shared" si="9"/>
        <v>国外无查验</v>
      </c>
      <c r="R167" s="29"/>
      <c r="V167" s="23" t="s">
        <v>31</v>
      </c>
      <c r="W167" s="25">
        <v>46206</v>
      </c>
    </row>
    <row r="168" customHeight="1" spans="1:23">
      <c r="A168" s="23" t="s">
        <v>23</v>
      </c>
      <c r="B168" s="23" t="s">
        <v>67</v>
      </c>
      <c r="C168" s="7" t="s">
        <v>505</v>
      </c>
      <c r="D168" s="7" t="s">
        <v>506</v>
      </c>
      <c r="E168" s="7">
        <v>622</v>
      </c>
      <c r="F168" s="24" t="s">
        <v>265</v>
      </c>
      <c r="G168" s="59">
        <v>46170</v>
      </c>
      <c r="H168" s="23" t="s">
        <v>142</v>
      </c>
      <c r="I168" s="24" t="s">
        <v>489</v>
      </c>
      <c r="J168" s="24"/>
      <c r="K168" s="24" t="s">
        <v>46</v>
      </c>
      <c r="L168" s="59">
        <v>46176</v>
      </c>
      <c r="N168" s="27">
        <f ca="1" t="shared" si="10"/>
        <v>5</v>
      </c>
      <c r="Q168" s="27" t="str">
        <f ca="1" t="shared" si="9"/>
        <v>国外无查验</v>
      </c>
      <c r="R168" s="29"/>
      <c r="V168" s="23" t="s">
        <v>31</v>
      </c>
      <c r="W168" s="25">
        <v>46206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X168" etc:filterBottomFollowUsedRange="1">
    <extLst/>
  </autoFilter>
  <mergeCells count="91">
    <mergeCell ref="F8:F9"/>
    <mergeCell ref="F51:F53"/>
    <mergeCell ref="F55:F56"/>
    <mergeCell ref="F57:F58"/>
    <mergeCell ref="F77:F81"/>
    <mergeCell ref="F97:F100"/>
    <mergeCell ref="F109:F113"/>
    <mergeCell ref="F114:F115"/>
    <mergeCell ref="F116:F120"/>
    <mergeCell ref="I82:I86"/>
    <mergeCell ref="J3:J7"/>
    <mergeCell ref="J8:J9"/>
    <mergeCell ref="J10:J20"/>
    <mergeCell ref="J22:J34"/>
    <mergeCell ref="J36:J38"/>
    <mergeCell ref="J41:J45"/>
    <mergeCell ref="J46:J50"/>
    <mergeCell ref="J51:J53"/>
    <mergeCell ref="J59:J61"/>
    <mergeCell ref="J77:J81"/>
    <mergeCell ref="J82:J86"/>
    <mergeCell ref="J87:J89"/>
    <mergeCell ref="J90:J91"/>
    <mergeCell ref="J93:J94"/>
    <mergeCell ref="J95:J96"/>
    <mergeCell ref="J97:J100"/>
    <mergeCell ref="J102:J106"/>
    <mergeCell ref="J107:J108"/>
    <mergeCell ref="J109:J113"/>
    <mergeCell ref="J114:J115"/>
    <mergeCell ref="J116:J120"/>
    <mergeCell ref="J122:J128"/>
    <mergeCell ref="J129:J132"/>
    <mergeCell ref="J134:J136"/>
    <mergeCell ref="J137:J139"/>
    <mergeCell ref="J142:J143"/>
    <mergeCell ref="J145:J148"/>
    <mergeCell ref="J151:J155"/>
    <mergeCell ref="J156:J158"/>
    <mergeCell ref="J161:J163"/>
    <mergeCell ref="J164:J168"/>
    <mergeCell ref="R3:R7"/>
    <mergeCell ref="R8:R9"/>
    <mergeCell ref="R10:R15"/>
    <mergeCell ref="R16:R20"/>
    <mergeCell ref="R22:R23"/>
    <mergeCell ref="R24:R28"/>
    <mergeCell ref="R29:R34"/>
    <mergeCell ref="R36:R38"/>
    <mergeCell ref="R41:R45"/>
    <mergeCell ref="R46:R50"/>
    <mergeCell ref="R51:R53"/>
    <mergeCell ref="R55:R58"/>
    <mergeCell ref="R59:R61"/>
    <mergeCell ref="R77:R81"/>
    <mergeCell ref="R82:R86"/>
    <mergeCell ref="R87:R89"/>
    <mergeCell ref="R90:R91"/>
    <mergeCell ref="R93:R94"/>
    <mergeCell ref="R95:R96"/>
    <mergeCell ref="R97:R100"/>
    <mergeCell ref="R102:R106"/>
    <mergeCell ref="R107:R108"/>
    <mergeCell ref="R109:R113"/>
    <mergeCell ref="R114:R115"/>
    <mergeCell ref="R116:R120"/>
    <mergeCell ref="R122:R128"/>
    <mergeCell ref="R129:R130"/>
    <mergeCell ref="R131:R132"/>
    <mergeCell ref="R134:R136"/>
    <mergeCell ref="R137:R139"/>
    <mergeCell ref="R142:R143"/>
    <mergeCell ref="R145:R148"/>
    <mergeCell ref="R149:R150"/>
    <mergeCell ref="R151:R155"/>
    <mergeCell ref="R156:R158"/>
    <mergeCell ref="R161:R163"/>
    <mergeCell ref="R164:R168"/>
    <mergeCell ref="S3:S7"/>
    <mergeCell ref="S8:S9"/>
    <mergeCell ref="S10:S20"/>
    <mergeCell ref="S22:S34"/>
    <mergeCell ref="S36:S38"/>
    <mergeCell ref="T3:T7"/>
    <mergeCell ref="T8:T9"/>
    <mergeCell ref="T10:T20"/>
    <mergeCell ref="T22:T34"/>
    <mergeCell ref="T36:T38"/>
    <mergeCell ref="U3:U7"/>
    <mergeCell ref="U10:U20"/>
    <mergeCell ref="U22:U34"/>
  </mergeCells>
  <conditionalFormatting sqref="D$1:D$1048576">
    <cfRule type="expression" dxfId="0" priority="8">
      <formula>AND(SUMPRODUCT(IFERROR(1*(($D$1:$D$1048576&amp;"x")=(D1&amp;"x")),0))&gt;1,NOT(ISBLANK(D1)))</formula>
    </cfRule>
  </conditionalFormatting>
  <conditionalFormatting sqref="K$1:K$1048576">
    <cfRule type="containsText" dxfId="1" priority="4" operator="between" text="未">
      <formula>NOT(ISERROR(SEARCH("未",K1)))</formula>
    </cfRule>
    <cfRule type="containsText" dxfId="1" priority="5" operator="between" text="否">
      <formula>NOT(ISERROR(SEARCH("否",K1)))</formula>
    </cfRule>
  </conditionalFormatting>
  <dataValidations count="1">
    <dataValidation type="list" allowBlank="1" showErrorMessage="1" errorTitle="错误提示" error="请输入下拉列表中的值" sqref="V2:V1048576" errorStyle="information">
      <formula1>"是,否"</formula1>
    </dataValidation>
  </dataValidations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30"/>
  <sheetViews>
    <sheetView workbookViewId="0">
      <selection activeCell="A1" sqref="A1"/>
    </sheetView>
  </sheetViews>
  <sheetFormatPr defaultColWidth="9" defaultRowHeight="13.5" outlineLevelCol="7"/>
  <cols>
    <col min="10" max="10" width="22.1333333333333" style="2" customWidth="1"/>
    <col min="11" max="11" width="35.7833333333333" style="3" customWidth="1"/>
  </cols>
  <sheetData>
    <row r="3" spans="1:1">
      <c r="A3" t="s">
        <v>507</v>
      </c>
    </row>
    <row r="4" spans="1:1">
      <c r="A4" s="4" t="s">
        <v>508</v>
      </c>
    </row>
    <row r="6" spans="1:1">
      <c r="A6" s="1" t="s">
        <v>509</v>
      </c>
    </row>
    <row r="28" spans="8:8">
      <c r="H28" s="1">
        <v>462.64</v>
      </c>
    </row>
    <row r="29" spans="8:8">
      <c r="H29">
        <v>332.64</v>
      </c>
    </row>
    <row r="30" spans="8:8">
      <c r="H30">
        <v>351.64</v>
      </c>
    </row>
  </sheetData>
  <sheetProtection formatCells="0" formatColumns="0" formatRows="0" insertRows="0" insertColumns="0" insertHyperlinks="0" deleteColumns="0" deleteRows="0" sort="0" autoFilter="0" pivotTables="0"/>
  <hyperlinks>
    <hyperlink ref="A4" r:id="rId1" display="https://365.kdocs.cn/l/cgx3x9P0bmZO" tooltip="https://365.kdocs.cn/l/cgx3x9P0bmZO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6"/>
  <sheetViews>
    <sheetView topLeftCell="B2" workbookViewId="0">
      <selection activeCell="B2" sqref="B2"/>
    </sheetView>
  </sheetViews>
  <sheetFormatPr defaultColWidth="9" defaultRowHeight="13.5" outlineLevelRow="5"/>
  <cols>
    <col min="2" max="2" width="12.5"/>
    <col min="9" max="9" width="33.75" customWidth="1"/>
    <col min="10" max="10" width="13.75" customWidth="1"/>
  </cols>
  <sheetData>
    <row r="2" ht="29.05" spans="2:11">
      <c r="B2" t="str">
        <f>_xlfn.DISPIMG("ID_715AC9F59FDF4BEDAECE27054FC44A37",1)</f>
        <v>=DISPIMG("ID_715AC9F59FDF4BEDAECE27054FC44A37",1)</v>
      </c>
      <c r="K2" s="1"/>
    </row>
    <row r="3" ht="17.6" spans="2:11">
      <c r="B3" t="str">
        <f>_xlfn.DISPIMG("ID_AB88ED8313CE409FB5D9281787BEB3CF",1)</f>
        <v>=DISPIMG("ID_AB88ED8313CE409FB5D9281787BEB3CF",1)</v>
      </c>
    </row>
    <row r="4" ht="14.05" spans="2:11">
      <c r="B4" t="str">
        <f>_xlfn.DISPIMG("ID_DD4E6AEA64E3436793F4A84A3CC8623D",1)</f>
        <v>=DISPIMG("ID_DD4E6AEA64E3436793F4A84A3CC8623D",1)</v>
      </c>
    </row>
    <row r="6" spans="2:11">
      <c r="I6" s="1"/>
      <c r="J6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V1" rgbClr="FF0000">
      <unresolved>
        <commentChain chainId="039c6b147a848754983c6da94db517674a0fb6eb">
          <item id="d6612ed0e05bf9696c48f2cfaf7dd2ecf36382ab" userID="1694797306" userName="陈佳琪" dateTime="2026-05-25T03:08:51" isNormal="0">
            <s:text>
              <s:r>
                <s:t xml:space="preserve">1、是否纳入库存计算：查验第一周 填 是；如果物流安排退运 则填否；如果一直没动静 填否
2、纳入库存计算后签收日期：如 退运货件重新发出后，重新纳入库存后的预计签收日期</s:t>
              </s:r>
            </s:text>
          </item>
        </commentChain>
      </unresolved>
      <resolved/>
    </commentChains>
  </commentList>
</comments>
</file>

<file path=customXml/item2.xml><?xml version="1.0" encoding="utf-8"?>
<autofilters xmlns="https://web.wps.cn/et/2018/main">
  <sheetItem sheetStid="1">
    <filterData filterID="1761761611"/>
    <filterData filterID="403598687">
      <hiddenRange rowFrom="1" rowTo="1"/>
      <hiddenRange rowFrom="9" rowTo="27"/>
      <hiddenRange rowFrom="34" rowTo="74"/>
      <hiddenRange rowFrom="76" rowTo="138"/>
      <hiddenRange rowFrom="140" rowTo="159"/>
    </filterData>
    <filterData filterID="1694797306">
      <hiddenRange rowFrom="1" rowTo="139"/>
      <hiddenRange rowFrom="141" rowTo="167"/>
    </filterData>
    <autofilterInfo filterID="403598687">
      <autoFilter xmlns="http://schemas.openxmlformats.org/spreadsheetml/2006/main" ref="A1:X168">
        <filterColumn colId="10">
          <customFilters>
            <customFilter operator="equal" val="否"/>
            <customFilter operator="equal" val="退运，未处理完"/>
          </customFilters>
        </filterColumn>
      </autoFilter>
    </autofilterInfo>
    <autofilterInfo filterID="1694797306">
      <autoFilter xmlns="http://schemas.openxmlformats.org/spreadsheetml/2006/main" ref="A1:X168">
        <filterColumn colId="0">
          <customFilters>
            <customFilter operator="equal" val="佳琪"/>
          </customFilters>
        </filterColumn>
        <filterColumn colId="6">
          <filters>
            <dateGroupItem year="2026" month="5" dateTimeGrouping="month"/>
          </filters>
        </filterColumn>
      </autoFilter>
    </autofilterInfo>
  </sheetItem>
</autofilte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496565110775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1"/>
  <pixelatorList sheetStid="5"/>
  <pixelatorList sheetStid="4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查验赔偿</vt:lpstr>
      <vt:lpstr>一八合同条款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2018-09-09T08:28:00Z</dcterms:created>
  <dcterms:modified xsi:type="dcterms:W3CDTF">2019-08-28T07:34:00Z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2052-12.9.0.26832</vt:lpwstr>
  </property>
  <property fmtid="{D5CDD505-2E9C-101B-9397-08002B2CF9AE}" pid="3" name="CalculationRule">
    <vt:i4>0</vt:i4>
  </property>
</Properties>
</file>